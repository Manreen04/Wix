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loudmails-my.sharepoint.com/personal/tp071290_mail_apu_edu_my/Documents/Microsoft Teams Chat Files/"/>
    </mc:Choice>
  </mc:AlternateContent>
  <xr:revisionPtr revIDLastSave="0" documentId="8_{205DF08B-1B35-401D-9E59-0993A6D66FAF}" xr6:coauthVersionLast="47" xr6:coauthVersionMax="47" xr10:uidLastSave="{00000000-0000-0000-0000-000000000000}"/>
  <bookViews>
    <workbookView xWindow="4428" yWindow="3144" windowWidth="17280" windowHeight="8880" xr2:uid="{00000000-000D-0000-FFFF-FFFF00000000}"/>
  </bookViews>
  <sheets>
    <sheet name="Title" sheetId="8" r:id="rId1"/>
    <sheet name="Inventory Sheet" sheetId="1" r:id="rId2"/>
    <sheet name="Sales Sheet" sheetId="2" r:id="rId3"/>
    <sheet name="Employee's Salary Sheet" sheetId="3" r:id="rId4"/>
    <sheet name="Analysis Sheet" sheetId="7" r:id="rId5"/>
  </sheets>
  <calcPr calcId="191028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" i="3" l="1"/>
  <c r="G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  <c r="I8" i="3" s="1"/>
  <c r="H9" i="2"/>
  <c r="H8" i="2"/>
  <c r="H7" i="2"/>
  <c r="H6" i="2"/>
  <c r="H5" i="2"/>
  <c r="H4" i="2"/>
  <c r="H3" i="2"/>
  <c r="I5" i="2" s="1"/>
  <c r="H2" i="2"/>
  <c r="J8" i="3" l="1"/>
  <c r="K8" i="3"/>
  <c r="G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MANREEN KAUR A/P JAGJIT SINGH</author>
  </authors>
  <commentList>
    <comment ref="B3" authorId="0" shapeId="0" xr:uid="{6F589153-E6F9-4553-B431-53E39F452F69}">
      <text>
        <r>
          <rPr>
            <sz val="11"/>
            <color theme="1"/>
            <rFont val="Calibri"/>
            <family val="2"/>
            <scheme val="minor"/>
          </rPr>
          <t xml:space="preserve">MANREEN KAUR A/P JAGJIT SINGH:
</t>
        </r>
      </text>
    </comment>
  </commentList>
</comments>
</file>

<file path=xl/sharedStrings.xml><?xml version="1.0" encoding="utf-8"?>
<sst xmlns="http://schemas.openxmlformats.org/spreadsheetml/2006/main" count="223" uniqueCount="161">
  <si>
    <t>KENNY HILLS BAKERS (JUNE)</t>
  </si>
  <si>
    <r>
      <rPr>
        <sz val="11"/>
        <color rgb="FF000000"/>
        <rFont val="Times New Roman"/>
      </rPr>
      <t xml:space="preserve">PRODUCT BOUGHT FROM A SPECIFIC COMPANY </t>
    </r>
    <r>
      <rPr>
        <b/>
        <sz val="11"/>
        <color rgb="FF000000"/>
        <rFont val="Times New Roman"/>
      </rPr>
      <t>:</t>
    </r>
    <r>
      <rPr>
        <sz val="11"/>
        <color rgb="FF000000"/>
        <rFont val="Times New Roman"/>
      </rPr>
      <t xml:space="preserve"> MONDELEZ INTERNATIONAL GOODS</t>
    </r>
  </si>
  <si>
    <t>CATEGORY</t>
  </si>
  <si>
    <t>PRODUCT NAME</t>
  </si>
  <si>
    <t>PRODUCT ID</t>
  </si>
  <si>
    <t>PRODUCT DESCRIPTION</t>
  </si>
  <si>
    <t>COST PRICE PRODUCT</t>
  </si>
  <si>
    <t>SELLING PRICE</t>
  </si>
  <si>
    <t>PRODUCT SOLD</t>
  </si>
  <si>
    <t>PRODUCT NOT SOLD</t>
  </si>
  <si>
    <t>Cake</t>
  </si>
  <si>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Buttercake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Chocolate brulee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Macademia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Red velvet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>Tiramisu</t>
    </r>
  </si>
  <si>
    <t>011 9191</t>
  </si>
  <si>
    <r>
      <t>.</t>
    </r>
    <r>
      <rPr>
        <sz val="11"/>
        <color rgb="FF000000"/>
        <rFont val="Times New Roman"/>
      </rPr>
      <t xml:space="preserve">Creamy and flavourful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Moist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1kg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Vegetarian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>Baked for about 27 minutes and 170 degrees</t>
    </r>
  </si>
  <si>
    <t>RM65.00</t>
  </si>
  <si>
    <t>RM91.00</t>
  </si>
  <si>
    <t>Bread</t>
  </si>
  <si>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Baguetta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Brioche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Challah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Focaccia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>Soft rolls</t>
    </r>
  </si>
  <si>
    <t xml:space="preserve">033 3434 </t>
  </si>
  <si>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Variety shaped 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Crunchy crust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Soft and elastic crumb texture inside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Savoury and fresh
</t>
    </r>
  </si>
  <si>
    <t>RM5.00</t>
  </si>
  <si>
    <t>RM7.00</t>
  </si>
  <si>
    <t>Pudding</t>
  </si>
  <si>
    <r>
      <t>.</t>
    </r>
    <r>
      <rPr>
        <sz val="11"/>
        <color rgb="FF000000"/>
        <rFont val="Times New Roman"/>
      </rPr>
      <t xml:space="preserve">Chocolate pudding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Apple tart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Fruit pudding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>Almond pudding</t>
    </r>
  </si>
  <si>
    <t>055 7272</t>
  </si>
  <si>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Soft,spongy and thick texture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Sweet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Fruity flavour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>Includes vitamins and minerals</t>
    </r>
  </si>
  <si>
    <t>RM20.00</t>
  </si>
  <si>
    <t>RM28.00</t>
  </si>
  <si>
    <t>Cookie</t>
  </si>
  <si>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Cookies&amp;cream cookies
.Jawa chip cookies
.Lemon cookies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>Macademia cookies</t>
    </r>
  </si>
  <si>
    <t>066 8181</t>
  </si>
  <si>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Round shaped 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Medium size,8 pieces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Crunchy crust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Soft and chewy inside
</t>
    </r>
  </si>
  <si>
    <t>RM15.00</t>
  </si>
  <si>
    <t>RM21.00</t>
  </si>
  <si>
    <t>Pastry</t>
  </si>
  <si>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Chocolate croissant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Chocolate eclair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Scone strawberry jam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>Vanilla donut</t>
    </r>
  </si>
  <si>
    <t xml:space="preserve">044 5656 </t>
  </si>
  <si>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Variety shape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Medium size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Sweet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>Crunchy crust</t>
    </r>
  </si>
  <si>
    <t>Cupcake</t>
  </si>
  <si>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Dark chocolate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Vanilla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Strawberry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>Mocha</t>
    </r>
  </si>
  <si>
    <t xml:space="preserve">022 2323 </t>
  </si>
  <si>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Round shaped 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Regular size,6 pieces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Comes in cute fondan designs
</t>
    </r>
  </si>
  <si>
    <t>Utensils</t>
  </si>
  <si>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Cutlery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Measuring spoons 
and cups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Spatula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>Baking trays</t>
    </r>
  </si>
  <si>
    <t>077 1234</t>
  </si>
  <si>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Use to cut cleanly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Use to meassure accurate amount ingredients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Use to mix ingredients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>Use to bake dough in the oven</t>
    </r>
  </si>
  <si>
    <t>RM10.00</t>
  </si>
  <si>
    <t>RM14.00</t>
  </si>
  <si>
    <t>Baking supplies</t>
  </si>
  <si>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Flour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Leaveners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Sugar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>Dairy</t>
    </r>
  </si>
  <si>
    <t>088 5678</t>
  </si>
  <si>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Ingredients used to bake into something delicious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Use to add flavour 
</t>
    </r>
    <r>
      <rPr>
        <b/>
        <sz val="11"/>
        <color rgb="FF000000"/>
        <rFont val="Times New Roman"/>
      </rPr>
      <t>.</t>
    </r>
    <r>
      <rPr>
        <sz val="11"/>
        <color rgb="FF000000"/>
        <rFont val="Times New Roman"/>
      </rPr>
      <t xml:space="preserve"> Improve texture of the dough</t>
    </r>
  </si>
  <si>
    <t>RM3.00</t>
  </si>
  <si>
    <t>RM4.20</t>
  </si>
  <si>
    <t>Baking supplies Total</t>
  </si>
  <si>
    <t>Bread Total</t>
  </si>
  <si>
    <t>Cake Total</t>
  </si>
  <si>
    <t>Cookie Total</t>
  </si>
  <si>
    <t>Cupcake Total</t>
  </si>
  <si>
    <t>Pastry Total</t>
  </si>
  <si>
    <t>Pudding Total</t>
  </si>
  <si>
    <t>Utensils Total</t>
  </si>
  <si>
    <t>Grand Total</t>
  </si>
  <si>
    <t>PRODUCT</t>
  </si>
  <si>
    <t>BRAND NAME</t>
  </si>
  <si>
    <t>MODEL NAME</t>
  </si>
  <si>
    <t>SELLING PRICE (RM)</t>
  </si>
  <si>
    <t>ITEM SOLD</t>
  </si>
  <si>
    <t>SALES AGENT NAME</t>
  </si>
  <si>
    <t>REVENUE(RM)</t>
  </si>
  <si>
    <t>TOTAL REVENUE(RM)</t>
  </si>
  <si>
    <t>-</t>
  </si>
  <si>
    <t>HC-6969ND</t>
  </si>
  <si>
    <t>011 6969</t>
  </si>
  <si>
    <t>AC-2323DD</t>
  </si>
  <si>
    <t>022 2323</t>
  </si>
  <si>
    <t>FC-3434ZO</t>
  </si>
  <si>
    <t>033 3434</t>
  </si>
  <si>
    <t>Naruro</t>
  </si>
  <si>
    <t>PE-5656JAZ</t>
  </si>
  <si>
    <t>044 5656</t>
  </si>
  <si>
    <t>FP-7272YSL</t>
  </si>
  <si>
    <t>LC-8181MK</t>
  </si>
  <si>
    <t>Silver Chef</t>
  </si>
  <si>
    <t>UT-7878MS</t>
  </si>
  <si>
    <t>Moonstar</t>
  </si>
  <si>
    <t>Mondelez International Goods</t>
  </si>
  <si>
    <t>BS-1212TW</t>
  </si>
  <si>
    <t>Twilight</t>
  </si>
  <si>
    <t>Employee ID</t>
  </si>
  <si>
    <t>Name</t>
  </si>
  <si>
    <t>Position</t>
  </si>
  <si>
    <t>Contact Number</t>
  </si>
  <si>
    <t>Age</t>
  </si>
  <si>
    <t>Address</t>
  </si>
  <si>
    <t>Salary (RM)</t>
  </si>
  <si>
    <t>Sales Revenue (RM)</t>
  </si>
  <si>
    <t>Commission Utensils (RM)</t>
  </si>
  <si>
    <t>Commission Baking Supplies(RM)</t>
  </si>
  <si>
    <t>Bonus Commission(RM)</t>
  </si>
  <si>
    <t>John Doe</t>
  </si>
  <si>
    <t>Manager</t>
  </si>
  <si>
    <t>(+60)2573981</t>
  </si>
  <si>
    <t>Marilyn Monroe St. No. 18</t>
  </si>
  <si>
    <t>Karina Yoo</t>
  </si>
  <si>
    <t>Baker</t>
  </si>
  <si>
    <t>(+60)4823715</t>
  </si>
  <si>
    <t>Piano Rd. No. 45</t>
  </si>
  <si>
    <t>Gabriella Anne</t>
  </si>
  <si>
    <t>(+60)5728198</t>
  </si>
  <si>
    <t>Cheesecake St. No. 78</t>
  </si>
  <si>
    <t>Christopher Lee</t>
  </si>
  <si>
    <t>Promoter</t>
  </si>
  <si>
    <t>(+60)2847194</t>
  </si>
  <si>
    <t>Riverway St. No. 29</t>
  </si>
  <si>
    <t>Jane Smith</t>
  </si>
  <si>
    <t>(+60)3829185</t>
  </si>
  <si>
    <t>Piano Rd. No. 34</t>
  </si>
  <si>
    <t>Jake Orlando</t>
  </si>
  <si>
    <t>(+60)9275184</t>
  </si>
  <si>
    <t>Lily St. No. 67</t>
  </si>
  <si>
    <t>TOTAL (RM)</t>
  </si>
  <si>
    <t>AVERAGE FOR SALES REVENUE (RM)</t>
  </si>
  <si>
    <t>PIVOT TABLE FOR INVENTORY, SALES AND EMPLOYEE SALARY</t>
  </si>
  <si>
    <t>INVENTORY</t>
  </si>
  <si>
    <t>SALARY</t>
  </si>
  <si>
    <t>EMPLOYEE SALARY</t>
  </si>
  <si>
    <t>Sum of PRODUCT SOLD (RM)</t>
  </si>
  <si>
    <t>Sum of PRODUCT NOT SOLD (RM)</t>
  </si>
  <si>
    <t>Sum of ITEMS SOLD</t>
  </si>
  <si>
    <t>Sum of REVENUE (RM)</t>
  </si>
  <si>
    <t>Sum of Salary (RM)</t>
  </si>
  <si>
    <t>Sum of Sales Revenue (RM)</t>
  </si>
  <si>
    <t>Sum of Commission Utensils (RM)</t>
  </si>
  <si>
    <t>Sum of Commission Baking Supplies(RM)</t>
  </si>
  <si>
    <t>Sum of Bonus Commission(RM)</t>
  </si>
  <si>
    <t>.Flour
.Leaveners
.Sugar
.Dairy</t>
  </si>
  <si>
    <t>.Baguetta
.Brioche
.Challah
.Focaccia
.Soft rolls</t>
  </si>
  <si>
    <t>Baker Total</t>
  </si>
  <si>
    <t>.Buttercake
.Chocolate brulee
.Macademia
.Red velvet
.Tiramisu</t>
  </si>
  <si>
    <t>Manager Total</t>
  </si>
  <si>
    <t>.Cookies&amp;cream cookies
.Jawa chip cookies
.Lemon cookies
.Macademia cookies</t>
  </si>
  <si>
    <t>- Total</t>
  </si>
  <si>
    <t>.Dark chocolate
.Vanilla
.Strawberry
.Mocha</t>
  </si>
  <si>
    <t>Mondelez International Goods Total</t>
  </si>
  <si>
    <t>Promoter Total</t>
  </si>
  <si>
    <t>(blank)</t>
  </si>
  <si>
    <t>.Chocolate croissant
.Chocolate eclair
.Scone strawberry jam
.Vanilla donut</t>
  </si>
  <si>
    <t>Silver Chef Total</t>
  </si>
  <si>
    <t>(blank) Total</t>
  </si>
  <si>
    <t>.Chocolate pudding
.Apple tart
.Fruit pudding
.Almond pudding</t>
  </si>
  <si>
    <t>.Cutlery
.Measuring spoons 
and cups
.Spatula
.Baking trays</t>
  </si>
  <si>
    <t>Nesya Dinasarah</t>
  </si>
  <si>
    <t>TP071290</t>
  </si>
  <si>
    <t>TP070035</t>
  </si>
  <si>
    <t xml:space="preserve">STUDENTS: </t>
  </si>
  <si>
    <t>Manreen Kaur</t>
  </si>
  <si>
    <t xml:space="preserve">LECTURERS : </t>
  </si>
  <si>
    <t>Mrs. Tulasi / Mr. Ramees</t>
  </si>
  <si>
    <t>Bakery Name:</t>
  </si>
  <si>
    <t>Kenny Hills Bakers Cooperation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</si>
</sst>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RM-4409]#,##0"/>
    <numFmt numFmtId="167" formatCode="[$RM-4409]#,##0.00"/>
    <numFmt numFmtId="168" formatCode="&quot;$&quot;#,##0.00"/>
    <numFmt numFmtId="169" formatCode="_-[$RM-4409]* #,##0.00_-;\-[$RM-4409]* #,##0.00_-;_-[$RM-4409]* &quot;-&quot;??_-;_-@_-"/>
    <numFmt numFmtId="170" formatCode="[$RM-43E]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Times New Roman"/>
    </font>
    <font>
      <sz val="12"/>
      <color theme="1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6"/>
      <color rgb="FF000000"/>
      <name val="Times New Roman"/>
    </font>
    <font>
      <b/>
      <sz val="11"/>
      <color theme="1"/>
      <name val="Times New Roman"/>
    </font>
    <font>
      <b/>
      <i/>
      <sz val="11"/>
      <color rgb="FF000000"/>
      <name val="Times New Roman"/>
    </font>
    <font>
      <b/>
      <sz val="12"/>
      <color rgb="FF000000"/>
      <name val="Times New Roman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2"/>
      <color theme="1"/>
      <name val="Times New Roman"/>
    </font>
    <font>
      <sz val="11"/>
      <color theme="1"/>
      <name val="Calibri"/>
    </font>
    <font>
      <sz val="11"/>
      <color rgb="FFFF0000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BDBFF0"/>
        <bgColor indexed="64"/>
      </patternFill>
    </fill>
    <fill>
      <patternFill patternType="solid">
        <fgColor rgb="FF6F8AE8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E79C7"/>
        <bgColor indexed="64"/>
      </patternFill>
    </fill>
    <fill>
      <patternFill patternType="solid">
        <fgColor rgb="FFDAC5ED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228">
    <xf numFmtId="0" fontId="0" fillId="0" borderId="0" xfId="0"/>
    <xf numFmtId="2" fontId="0" fillId="0" borderId="0" xfId="0" applyNumberFormat="1"/>
    <xf numFmtId="0" fontId="7" fillId="0" borderId="0" xfId="0" applyFont="1"/>
    <xf numFmtId="0" fontId="5" fillId="0" borderId="0" xfId="0" applyFont="1"/>
    <xf numFmtId="0" fontId="9" fillId="0" borderId="0" xfId="0" applyFont="1"/>
    <xf numFmtId="0" fontId="2" fillId="2" borderId="9" xfId="0" applyFont="1" applyFill="1" applyBorder="1" applyAlignment="1">
      <alignment horizontal="left" vertical="center" wrapText="1"/>
    </xf>
    <xf numFmtId="0" fontId="2" fillId="2" borderId="29" xfId="0" applyFont="1" applyFill="1" applyBorder="1" applyAlignment="1">
      <alignment horizontal="left" vertical="center" wrapText="1"/>
    </xf>
    <xf numFmtId="0" fontId="4" fillId="2" borderId="33" xfId="0" applyFont="1" applyFill="1" applyBorder="1"/>
    <xf numFmtId="0" fontId="12" fillId="3" borderId="1" xfId="0" applyFont="1" applyFill="1" applyBorder="1" applyAlignment="1">
      <alignment horizontal="left" vertical="center" wrapText="1"/>
    </xf>
    <xf numFmtId="169" fontId="0" fillId="0" borderId="0" xfId="0" applyNumberFormat="1"/>
    <xf numFmtId="0" fontId="0" fillId="8" borderId="1" xfId="0" applyFill="1" applyBorder="1"/>
    <xf numFmtId="0" fontId="13" fillId="8" borderId="1" xfId="0" applyFont="1" applyFill="1" applyBorder="1"/>
    <xf numFmtId="0" fontId="2" fillId="9" borderId="5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left" vertical="top" wrapText="1"/>
    </xf>
    <xf numFmtId="165" fontId="2" fillId="9" borderId="4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top" wrapText="1"/>
    </xf>
    <xf numFmtId="168" fontId="2" fillId="9" borderId="7" xfId="0" applyNumberFormat="1" applyFont="1" applyFill="1" applyBorder="1" applyAlignment="1">
      <alignment horizontal="center" vertical="center"/>
    </xf>
    <xf numFmtId="168" fontId="2" fillId="9" borderId="6" xfId="0" applyNumberFormat="1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165" fontId="2" fillId="9" borderId="6" xfId="0" applyNumberFormat="1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left" vertical="top" wrapText="1"/>
    </xf>
    <xf numFmtId="168" fontId="2" fillId="9" borderId="9" xfId="0" applyNumberFormat="1" applyFont="1" applyFill="1" applyBorder="1" applyAlignment="1">
      <alignment horizontal="center" vertical="center"/>
    </xf>
    <xf numFmtId="168" fontId="2" fillId="9" borderId="3" xfId="0" applyNumberFormat="1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left" vertical="top" wrapText="1"/>
    </xf>
    <xf numFmtId="0" fontId="2" fillId="9" borderId="6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left" vertical="top" wrapText="1"/>
    </xf>
    <xf numFmtId="168" fontId="2" fillId="9" borderId="4" xfId="0" applyNumberFormat="1" applyFont="1" applyFill="1" applyBorder="1" applyAlignment="1">
      <alignment horizontal="center" vertical="center"/>
    </xf>
    <xf numFmtId="165" fontId="2" fillId="9" borderId="8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vertical="top" wrapText="1"/>
    </xf>
    <xf numFmtId="168" fontId="2" fillId="9" borderId="8" xfId="0" applyNumberFormat="1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wrapText="1"/>
    </xf>
    <xf numFmtId="49" fontId="2" fillId="9" borderId="10" xfId="0" applyNumberFormat="1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left" vertical="top" wrapText="1"/>
    </xf>
    <xf numFmtId="168" fontId="2" fillId="9" borderId="10" xfId="0" applyNumberFormat="1" applyFont="1" applyFill="1" applyBorder="1" applyAlignment="1">
      <alignment horizontal="center" vertical="center"/>
    </xf>
    <xf numFmtId="168" fontId="2" fillId="9" borderId="1" xfId="0" applyNumberFormat="1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8" borderId="0" xfId="0" applyFont="1" applyFill="1"/>
    <xf numFmtId="0" fontId="0" fillId="8" borderId="0" xfId="0" applyFill="1"/>
    <xf numFmtId="0" fontId="10" fillId="9" borderId="1" xfId="0" applyFont="1" applyFill="1" applyBorder="1"/>
    <xf numFmtId="167" fontId="11" fillId="9" borderId="1" xfId="0" applyNumberFormat="1" applyFont="1" applyFill="1" applyBorder="1" applyAlignment="1">
      <alignment horizontal="center" vertical="center"/>
    </xf>
    <xf numFmtId="167" fontId="12" fillId="6" borderId="8" xfId="0" applyNumberFormat="1" applyFont="1" applyFill="1" applyBorder="1" applyAlignment="1">
      <alignment horizontal="center" vertical="center"/>
    </xf>
    <xf numFmtId="167" fontId="12" fillId="6" borderId="1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167" fontId="12" fillId="6" borderId="2" xfId="0" applyNumberFormat="1" applyFont="1" applyFill="1" applyBorder="1" applyAlignment="1">
      <alignment horizontal="center" vertical="center"/>
    </xf>
    <xf numFmtId="167" fontId="12" fillId="6" borderId="3" xfId="0" applyNumberFormat="1" applyFont="1" applyFill="1" applyBorder="1" applyAlignment="1">
      <alignment horizontal="center" vertical="center"/>
    </xf>
    <xf numFmtId="167" fontId="12" fillId="6" borderId="6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167" fontId="2" fillId="7" borderId="12" xfId="0" applyNumberFormat="1" applyFont="1" applyFill="1" applyBorder="1" applyAlignment="1">
      <alignment horizontal="center" vertical="center"/>
    </xf>
    <xf numFmtId="167" fontId="2" fillId="7" borderId="5" xfId="0" applyNumberFormat="1" applyFont="1" applyFill="1" applyBorder="1" applyAlignment="1">
      <alignment horizontal="center" vertical="center"/>
    </xf>
    <xf numFmtId="168" fontId="2" fillId="7" borderId="3" xfId="0" applyNumberFormat="1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/>
    </xf>
    <xf numFmtId="167" fontId="2" fillId="7" borderId="0" xfId="0" applyNumberFormat="1" applyFont="1" applyFill="1" applyAlignment="1">
      <alignment horizontal="center"/>
    </xf>
    <xf numFmtId="167" fontId="2" fillId="7" borderId="32" xfId="0" applyNumberFormat="1" applyFont="1" applyFill="1" applyBorder="1" applyAlignment="1">
      <alignment horizontal="center" vertical="center"/>
    </xf>
    <xf numFmtId="168" fontId="2" fillId="7" borderId="9" xfId="0" applyNumberFormat="1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167" fontId="2" fillId="7" borderId="16" xfId="0" applyNumberFormat="1" applyFont="1" applyFill="1" applyBorder="1" applyAlignment="1">
      <alignment horizontal="center"/>
    </xf>
    <xf numFmtId="0" fontId="7" fillId="7" borderId="31" xfId="0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 wrapText="1"/>
    </xf>
    <xf numFmtId="167" fontId="2" fillId="7" borderId="19" xfId="0" applyNumberFormat="1" applyFont="1" applyFill="1" applyBorder="1" applyAlignment="1">
      <alignment horizontal="center"/>
    </xf>
    <xf numFmtId="0" fontId="5" fillId="7" borderId="26" xfId="0" applyFont="1" applyFill="1" applyBorder="1" applyAlignment="1">
      <alignment horizontal="center" vertical="center"/>
    </xf>
    <xf numFmtId="168" fontId="2" fillId="7" borderId="28" xfId="0" applyNumberFormat="1" applyFont="1" applyFill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/>
    </xf>
    <xf numFmtId="167" fontId="2" fillId="7" borderId="0" xfId="0" applyNumberFormat="1" applyFont="1" applyFill="1" applyAlignment="1">
      <alignment horizontal="center" vertical="center"/>
    </xf>
    <xf numFmtId="0" fontId="4" fillId="7" borderId="27" xfId="0" applyFont="1" applyFill="1" applyBorder="1" applyAlignment="1">
      <alignment horizontal="center" vertical="center" indent="1"/>
    </xf>
    <xf numFmtId="167" fontId="2" fillId="7" borderId="35" xfId="0" applyNumberFormat="1" applyFont="1" applyFill="1" applyBorder="1" applyAlignment="1">
      <alignment horizontal="center" vertical="center"/>
    </xf>
    <xf numFmtId="167" fontId="2" fillId="7" borderId="34" xfId="0" applyNumberFormat="1" applyFont="1" applyFill="1" applyBorder="1" applyAlignment="1">
      <alignment horizontal="center" vertical="center"/>
    </xf>
    <xf numFmtId="168" fontId="2" fillId="7" borderId="33" xfId="0" applyNumberFormat="1" applyFont="1" applyFill="1" applyBorder="1" applyAlignment="1">
      <alignment horizontal="center" vertical="center"/>
    </xf>
    <xf numFmtId="0" fontId="2" fillId="10" borderId="11" xfId="1" applyFont="1" applyFill="1" applyBorder="1" applyAlignment="1">
      <alignment horizontal="center" vertical="center"/>
    </xf>
    <xf numFmtId="169" fontId="2" fillId="10" borderId="13" xfId="1" applyNumberFormat="1" applyFont="1" applyFill="1" applyBorder="1" applyAlignment="1">
      <alignment horizontal="center" vertical="center" indent="1"/>
    </xf>
    <xf numFmtId="169" fontId="2" fillId="10" borderId="14" xfId="0" applyNumberFormat="1" applyFont="1" applyFill="1" applyBorder="1" applyAlignment="1">
      <alignment horizontal="center" vertical="center" indent="2"/>
    </xf>
    <xf numFmtId="169" fontId="2" fillId="10" borderId="18" xfId="0" applyNumberFormat="1" applyFont="1" applyFill="1" applyBorder="1" applyAlignment="1">
      <alignment horizontal="center" vertical="center" indent="1"/>
    </xf>
    <xf numFmtId="169" fontId="2" fillId="10" borderId="17" xfId="0" applyNumberFormat="1" applyFont="1" applyFill="1" applyBorder="1" applyAlignment="1">
      <alignment horizontal="left" vertical="center" indent="1"/>
    </xf>
    <xf numFmtId="169" fontId="2" fillId="10" borderId="11" xfId="0" applyNumberFormat="1" applyFont="1" applyFill="1" applyBorder="1" applyAlignment="1">
      <alignment horizontal="center" vertical="center" indent="2"/>
    </xf>
    <xf numFmtId="169" fontId="2" fillId="10" borderId="11" xfId="0" applyNumberFormat="1" applyFont="1" applyFill="1" applyBorder="1" applyAlignment="1">
      <alignment horizontal="left" vertical="center" indent="1"/>
    </xf>
    <xf numFmtId="169" fontId="2" fillId="10" borderId="17" xfId="0" applyNumberFormat="1" applyFont="1" applyFill="1" applyBorder="1" applyAlignment="1">
      <alignment horizontal="center" vertical="center" indent="2"/>
    </xf>
    <xf numFmtId="169" fontId="2" fillId="10" borderId="14" xfId="0" applyNumberFormat="1" applyFont="1" applyFill="1" applyBorder="1" applyAlignment="1">
      <alignment horizontal="left" vertical="center" indent="1"/>
    </xf>
    <xf numFmtId="0" fontId="2" fillId="10" borderId="14" xfId="1" applyFont="1" applyFill="1" applyBorder="1" applyAlignment="1">
      <alignment horizontal="center" vertical="center"/>
    </xf>
    <xf numFmtId="169" fontId="2" fillId="10" borderId="14" xfId="1" applyNumberFormat="1" applyFont="1" applyFill="1" applyBorder="1" applyAlignment="1">
      <alignment horizontal="center" vertical="center" indent="1"/>
    </xf>
    <xf numFmtId="169" fontId="2" fillId="10" borderId="17" xfId="1" applyNumberFormat="1" applyFont="1" applyFill="1" applyBorder="1" applyAlignment="1">
      <alignment horizontal="center" vertical="center" indent="2"/>
    </xf>
    <xf numFmtId="0" fontId="2" fillId="10" borderId="23" xfId="1" applyFont="1" applyFill="1" applyBorder="1" applyAlignment="1">
      <alignment horizontal="center" vertical="center"/>
    </xf>
    <xf numFmtId="0" fontId="2" fillId="10" borderId="18" xfId="1" applyFont="1" applyFill="1" applyBorder="1" applyAlignment="1">
      <alignment horizontal="center" vertical="center"/>
    </xf>
    <xf numFmtId="169" fontId="2" fillId="10" borderId="25" xfId="1" applyNumberFormat="1" applyFont="1" applyFill="1" applyBorder="1" applyAlignment="1">
      <alignment horizontal="center" vertical="center" indent="1"/>
    </xf>
    <xf numFmtId="169" fontId="2" fillId="10" borderId="25" xfId="0" applyNumberFormat="1" applyFont="1" applyFill="1" applyBorder="1" applyAlignment="1">
      <alignment horizontal="center" vertical="center" indent="2"/>
    </xf>
    <xf numFmtId="0" fontId="2" fillId="11" borderId="1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2" fillId="11" borderId="3" xfId="1" applyFont="1" applyFill="1" applyBorder="1" applyAlignment="1">
      <alignment horizontal="left" vertical="center"/>
    </xf>
    <xf numFmtId="0" fontId="2" fillId="11" borderId="8" xfId="1" applyFont="1" applyFill="1" applyBorder="1" applyAlignment="1">
      <alignment horizontal="center" vertical="center"/>
    </xf>
    <xf numFmtId="0" fontId="2" fillId="11" borderId="21" xfId="1" applyFont="1" applyFill="1" applyBorder="1" applyAlignment="1">
      <alignment horizontal="center" vertical="center"/>
    </xf>
    <xf numFmtId="0" fontId="2" fillId="11" borderId="22" xfId="1" applyFont="1" applyFill="1" applyBorder="1" applyAlignment="1">
      <alignment horizontal="center" vertical="center"/>
    </xf>
    <xf numFmtId="169" fontId="2" fillId="11" borderId="1" xfId="1" applyNumberFormat="1" applyFont="1" applyFill="1" applyBorder="1" applyAlignment="1">
      <alignment horizontal="center" vertical="center" indent="1"/>
    </xf>
    <xf numFmtId="169" fontId="2" fillId="11" borderId="10" xfId="1" applyNumberFormat="1" applyFont="1" applyFill="1" applyBorder="1" applyAlignment="1">
      <alignment horizontal="center" vertical="center" indent="1"/>
    </xf>
    <xf numFmtId="169" fontId="2" fillId="11" borderId="2" xfId="0" applyNumberFormat="1" applyFont="1" applyFill="1" applyBorder="1" applyAlignment="1">
      <alignment horizontal="center" vertical="center" indent="1"/>
    </xf>
    <xf numFmtId="169" fontId="2" fillId="11" borderId="1" xfId="0" applyNumberFormat="1" applyFont="1" applyFill="1" applyBorder="1" applyAlignment="1">
      <alignment horizontal="left" vertical="center" indent="1"/>
    </xf>
    <xf numFmtId="0" fontId="2" fillId="11" borderId="2" xfId="0" applyFont="1" applyFill="1" applyBorder="1" applyAlignment="1">
      <alignment horizontal="left" vertical="center"/>
    </xf>
    <xf numFmtId="0" fontId="2" fillId="11" borderId="10" xfId="0" applyFont="1" applyFill="1" applyBorder="1" applyAlignment="1">
      <alignment horizontal="left" vertical="center"/>
    </xf>
    <xf numFmtId="0" fontId="2" fillId="11" borderId="7" xfId="0" applyFont="1" applyFill="1" applyBorder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2" fillId="11" borderId="13" xfId="0" applyFont="1" applyFill="1" applyBorder="1" applyAlignment="1">
      <alignment horizontal="left" vertical="center"/>
    </xf>
    <xf numFmtId="0" fontId="2" fillId="11" borderId="24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/>
    <xf numFmtId="1" fontId="2" fillId="7" borderId="4" xfId="0" applyNumberFormat="1" applyFont="1" applyFill="1" applyBorder="1" applyAlignment="1">
      <alignment horizontal="center" vertical="center"/>
    </xf>
    <xf numFmtId="1" fontId="2" fillId="7" borderId="32" xfId="0" applyNumberFormat="1" applyFont="1" applyFill="1" applyBorder="1" applyAlignment="1">
      <alignment horizontal="center" vertical="center"/>
    </xf>
    <xf numFmtId="1" fontId="2" fillId="7" borderId="5" xfId="0" applyNumberFormat="1" applyFont="1" applyFill="1" applyBorder="1" applyAlignment="1">
      <alignment horizontal="center" vertical="center"/>
    </xf>
    <xf numFmtId="1" fontId="2" fillId="7" borderId="34" xfId="0" applyNumberFormat="1" applyFont="1" applyFill="1" applyBorder="1" applyAlignment="1">
      <alignment horizontal="center" vertical="center"/>
    </xf>
    <xf numFmtId="170" fontId="2" fillId="7" borderId="5" xfId="0" applyNumberFormat="1" applyFont="1" applyFill="1" applyBorder="1" applyAlignment="1">
      <alignment horizontal="center" vertical="center"/>
    </xf>
    <xf numFmtId="170" fontId="2" fillId="7" borderId="32" xfId="0" applyNumberFormat="1" applyFont="1" applyFill="1" applyBorder="1" applyAlignment="1">
      <alignment horizontal="center" vertical="center"/>
    </xf>
    <xf numFmtId="170" fontId="2" fillId="7" borderId="34" xfId="0" applyNumberFormat="1" applyFont="1" applyFill="1" applyBorder="1" applyAlignment="1">
      <alignment horizontal="center" vertical="center"/>
    </xf>
    <xf numFmtId="169" fontId="2" fillId="7" borderId="17" xfId="0" applyNumberFormat="1" applyFont="1" applyFill="1" applyBorder="1" applyAlignment="1">
      <alignment horizontal="center" vertical="center"/>
    </xf>
    <xf numFmtId="169" fontId="2" fillId="7" borderId="22" xfId="0" applyNumberFormat="1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14" fillId="11" borderId="24" xfId="1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169" fontId="14" fillId="5" borderId="0" xfId="1" applyNumberFormat="1" applyFont="1" applyFill="1" applyBorder="1" applyAlignment="1">
      <alignment horizontal="center" vertical="center" indent="1"/>
    </xf>
    <xf numFmtId="169" fontId="14" fillId="5" borderId="0" xfId="0" applyNumberFormat="1" applyFont="1" applyFill="1" applyAlignment="1">
      <alignment horizontal="center" vertical="center" indent="2"/>
    </xf>
    <xf numFmtId="169" fontId="14" fillId="5" borderId="0" xfId="1" applyNumberFormat="1" applyFont="1" applyFill="1" applyBorder="1" applyAlignment="1">
      <alignment horizontal="center" vertical="center" wrapText="1" indent="1"/>
    </xf>
    <xf numFmtId="169" fontId="14" fillId="5" borderId="0" xfId="0" applyNumberFormat="1" applyFont="1" applyFill="1" applyAlignment="1">
      <alignment horizontal="center" vertical="center" indent="1"/>
    </xf>
    <xf numFmtId="169" fontId="14" fillId="5" borderId="0" xfId="0" applyNumberFormat="1" applyFont="1" applyFill="1" applyAlignment="1">
      <alignment horizontal="left" vertical="center" indent="1"/>
    </xf>
    <xf numFmtId="169" fontId="14" fillId="5" borderId="0" xfId="1" applyNumberFormat="1" applyFont="1" applyFill="1" applyBorder="1" applyAlignment="1">
      <alignment horizontal="center" vertical="center" indent="2"/>
    </xf>
    <xf numFmtId="0" fontId="14" fillId="5" borderId="0" xfId="1" applyFont="1" applyFill="1" applyBorder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0" fillId="10" borderId="16" xfId="0" applyFill="1" applyBorder="1"/>
    <xf numFmtId="0" fontId="0" fillId="10" borderId="19" xfId="0" applyFill="1" applyBorder="1"/>
    <xf numFmtId="0" fontId="0" fillId="10" borderId="10" xfId="0" applyFill="1" applyBorder="1"/>
    <xf numFmtId="0" fontId="0" fillId="10" borderId="8" xfId="0" applyFill="1" applyBorder="1"/>
    <xf numFmtId="0" fontId="0" fillId="11" borderId="2" xfId="0" applyFill="1" applyBorder="1"/>
    <xf numFmtId="0" fontId="0" fillId="11" borderId="10" xfId="0" applyFill="1" applyBorder="1"/>
    <xf numFmtId="0" fontId="0" fillId="10" borderId="0" xfId="0" applyFill="1"/>
    <xf numFmtId="0" fontId="0" fillId="11" borderId="1" xfId="0" applyFill="1" applyBorder="1"/>
    <xf numFmtId="0" fontId="0" fillId="10" borderId="9" xfId="0" applyFill="1" applyBorder="1"/>
    <xf numFmtId="0" fontId="0" fillId="10" borderId="36" xfId="0" applyFill="1" applyBorder="1"/>
    <xf numFmtId="0" fontId="0" fillId="10" borderId="3" xfId="0" applyFill="1" applyBorder="1"/>
    <xf numFmtId="0" fontId="0" fillId="10" borderId="1" xfId="0" applyFill="1" applyBorder="1"/>
    <xf numFmtId="0" fontId="0" fillId="11" borderId="20" xfId="0" applyFill="1" applyBorder="1"/>
    <xf numFmtId="0" fontId="0" fillId="10" borderId="29" xfId="0" applyFill="1" applyBorder="1"/>
    <xf numFmtId="0" fontId="0" fillId="10" borderId="20" xfId="0" applyFill="1" applyBorder="1"/>
    <xf numFmtId="167" fontId="0" fillId="10" borderId="5" xfId="0" applyNumberFormat="1" applyFill="1" applyBorder="1" applyAlignment="1">
      <alignment horizontal="center" vertical="center"/>
    </xf>
    <xf numFmtId="167" fontId="0" fillId="10" borderId="37" xfId="0" applyNumberFormat="1" applyFill="1" applyBorder="1" applyAlignment="1">
      <alignment horizontal="center" vertical="center"/>
    </xf>
    <xf numFmtId="167" fontId="0" fillId="10" borderId="4" xfId="0" applyNumberFormat="1" applyFill="1" applyBorder="1" applyAlignment="1">
      <alignment horizontal="center" vertical="center"/>
    </xf>
    <xf numFmtId="167" fontId="0" fillId="10" borderId="2" xfId="0" applyNumberFormat="1" applyFill="1" applyBorder="1" applyAlignment="1">
      <alignment horizontal="center" vertical="center"/>
    </xf>
    <xf numFmtId="167" fontId="0" fillId="10" borderId="32" xfId="0" applyNumberFormat="1" applyFill="1" applyBorder="1" applyAlignment="1">
      <alignment horizontal="center" vertical="center"/>
    </xf>
    <xf numFmtId="167" fontId="0" fillId="11" borderId="2" xfId="0" applyNumberFormat="1" applyFill="1" applyBorder="1" applyAlignment="1">
      <alignment horizontal="center" vertical="center"/>
    </xf>
    <xf numFmtId="167" fontId="0" fillId="10" borderId="9" xfId="0" applyNumberFormat="1" applyFill="1" applyBorder="1" applyAlignment="1">
      <alignment horizontal="center" vertical="center"/>
    </xf>
    <xf numFmtId="167" fontId="0" fillId="10" borderId="36" xfId="0" applyNumberFormat="1" applyFill="1" applyBorder="1" applyAlignment="1">
      <alignment horizontal="center" vertical="center"/>
    </xf>
    <xf numFmtId="167" fontId="0" fillId="10" borderId="3" xfId="0" applyNumberFormat="1" applyFill="1" applyBorder="1" applyAlignment="1">
      <alignment horizontal="center" vertical="center"/>
    </xf>
    <xf numFmtId="167" fontId="0" fillId="10" borderId="1" xfId="0" applyNumberFormat="1" applyFill="1" applyBorder="1" applyAlignment="1">
      <alignment horizontal="center" vertical="center"/>
    </xf>
    <xf numFmtId="167" fontId="0" fillId="10" borderId="29" xfId="0" applyNumberFormat="1" applyFill="1" applyBorder="1" applyAlignment="1">
      <alignment horizontal="center" vertical="center"/>
    </xf>
    <xf numFmtId="167" fontId="0" fillId="11" borderId="1" xfId="0" applyNumberForma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169" fontId="2" fillId="5" borderId="17" xfId="0" applyNumberFormat="1" applyFont="1" applyFill="1" applyBorder="1" applyAlignment="1">
      <alignment horizontal="left" vertical="center" indent="1"/>
    </xf>
    <xf numFmtId="169" fontId="2" fillId="5" borderId="11" xfId="0" applyNumberFormat="1" applyFont="1" applyFill="1" applyBorder="1" applyAlignment="1">
      <alignment horizontal="left" vertical="center" indent="1"/>
    </xf>
    <xf numFmtId="169" fontId="2" fillId="5" borderId="14" xfId="0" applyNumberFormat="1" applyFont="1" applyFill="1" applyBorder="1" applyAlignment="1">
      <alignment horizontal="left" vertical="center" indent="1"/>
    </xf>
    <xf numFmtId="0" fontId="2" fillId="5" borderId="14" xfId="1" applyFont="1" applyFill="1" applyBorder="1" applyAlignment="1">
      <alignment horizontal="center" vertical="center"/>
    </xf>
    <xf numFmtId="0" fontId="2" fillId="5" borderId="18" xfId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left" vertical="center"/>
    </xf>
    <xf numFmtId="0" fontId="2" fillId="5" borderId="19" xfId="1" applyFont="1" applyFill="1" applyBorder="1" applyAlignment="1">
      <alignment horizontal="center" vertical="center"/>
    </xf>
    <xf numFmtId="0" fontId="2" fillId="5" borderId="0" xfId="1" applyFont="1" applyFill="1" applyBorder="1" applyAlignment="1">
      <alignment horizontal="center" vertical="center"/>
    </xf>
    <xf numFmtId="169" fontId="2" fillId="5" borderId="0" xfId="1" applyNumberFormat="1" applyFont="1" applyFill="1" applyBorder="1" applyAlignment="1">
      <alignment horizontal="center" vertical="center" indent="1"/>
    </xf>
    <xf numFmtId="169" fontId="2" fillId="5" borderId="0" xfId="0" applyNumberFormat="1" applyFont="1" applyFill="1" applyAlignment="1">
      <alignment horizontal="center" vertical="center" indent="1"/>
    </xf>
    <xf numFmtId="0" fontId="2" fillId="5" borderId="13" xfId="1" applyFont="1" applyFill="1" applyBorder="1" applyAlignment="1">
      <alignment horizontal="center" vertical="center"/>
    </xf>
    <xf numFmtId="0" fontId="2" fillId="5" borderId="16" xfId="1" applyFont="1" applyFill="1" applyBorder="1" applyAlignment="1">
      <alignment horizontal="center" vertical="center"/>
    </xf>
    <xf numFmtId="169" fontId="2" fillId="5" borderId="16" xfId="1" applyNumberFormat="1" applyFont="1" applyFill="1" applyBorder="1" applyAlignment="1">
      <alignment horizontal="center" vertical="center" indent="1"/>
    </xf>
    <xf numFmtId="169" fontId="2" fillId="5" borderId="16" xfId="0" applyNumberFormat="1" applyFont="1" applyFill="1" applyBorder="1" applyAlignment="1">
      <alignment horizontal="center" vertical="center" indent="1"/>
    </xf>
    <xf numFmtId="169" fontId="2" fillId="5" borderId="19" xfId="1" applyNumberFormat="1" applyFont="1" applyFill="1" applyBorder="1" applyAlignment="1">
      <alignment horizontal="center" vertical="center" indent="1"/>
    </xf>
    <xf numFmtId="169" fontId="2" fillId="5" borderId="19" xfId="0" applyNumberFormat="1" applyFont="1" applyFill="1" applyBorder="1" applyAlignment="1">
      <alignment horizontal="center" vertical="center" indent="1"/>
    </xf>
    <xf numFmtId="0" fontId="2" fillId="5" borderId="16" xfId="0" applyFont="1" applyFill="1" applyBorder="1" applyAlignment="1">
      <alignment horizontal="center" vertical="center"/>
    </xf>
    <xf numFmtId="0" fontId="2" fillId="5" borderId="39" xfId="1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left" vertical="center"/>
    </xf>
    <xf numFmtId="0" fontId="2" fillId="5" borderId="17" xfId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left" vertical="center"/>
    </xf>
    <xf numFmtId="0" fontId="2" fillId="5" borderId="39" xfId="1" applyFont="1" applyFill="1" applyBorder="1" applyAlignment="1">
      <alignment horizontal="left" vertical="center"/>
    </xf>
    <xf numFmtId="0" fontId="0" fillId="0" borderId="11" xfId="0" applyBorder="1"/>
    <xf numFmtId="0" fontId="2" fillId="5" borderId="22" xfId="0" applyFont="1" applyFill="1" applyBorder="1" applyAlignment="1">
      <alignment horizontal="center" vertical="center"/>
    </xf>
    <xf numFmtId="170" fontId="2" fillId="5" borderId="16" xfId="0" applyNumberFormat="1" applyFont="1" applyFill="1" applyBorder="1" applyAlignment="1">
      <alignment vertical="center"/>
    </xf>
    <xf numFmtId="170" fontId="2" fillId="5" borderId="38" xfId="0" applyNumberFormat="1" applyFont="1" applyFill="1" applyBorder="1" applyAlignment="1">
      <alignment vertical="center"/>
    </xf>
    <xf numFmtId="169" fontId="2" fillId="5" borderId="17" xfId="1" applyNumberFormat="1" applyFont="1" applyFill="1" applyBorder="1" applyAlignment="1">
      <alignment horizontal="center" vertical="center" wrapText="1" indent="1"/>
    </xf>
    <xf numFmtId="169" fontId="2" fillId="5" borderId="14" xfId="1" applyNumberFormat="1" applyFont="1" applyFill="1" applyBorder="1" applyAlignment="1">
      <alignment horizontal="center" vertical="center" wrapText="1" indent="1"/>
    </xf>
    <xf numFmtId="169" fontId="2" fillId="5" borderId="11" xfId="1" applyNumberFormat="1" applyFont="1" applyFill="1" applyBorder="1" applyAlignment="1">
      <alignment horizontal="center" vertical="center" wrapText="1" indent="1"/>
    </xf>
    <xf numFmtId="170" fontId="2" fillId="5" borderId="11" xfId="0" applyNumberFormat="1" applyFont="1" applyFill="1" applyBorder="1" applyAlignment="1">
      <alignment vertical="center"/>
    </xf>
    <xf numFmtId="169" fontId="2" fillId="5" borderId="39" xfId="0" applyNumberFormat="1" applyFont="1" applyFill="1" applyBorder="1" applyAlignment="1">
      <alignment horizontal="center" vertical="center" indent="2"/>
    </xf>
    <xf numFmtId="169" fontId="2" fillId="5" borderId="18" xfId="0" applyNumberFormat="1" applyFont="1" applyFill="1" applyBorder="1" applyAlignment="1">
      <alignment horizontal="center" vertical="center" indent="2"/>
    </xf>
    <xf numFmtId="169" fontId="2" fillId="5" borderId="13" xfId="0" applyNumberFormat="1" applyFont="1" applyFill="1" applyBorder="1" applyAlignment="1">
      <alignment horizontal="center" vertical="center" indent="2"/>
    </xf>
    <xf numFmtId="169" fontId="2" fillId="5" borderId="39" xfId="1" applyNumberFormat="1" applyFont="1" applyFill="1" applyBorder="1" applyAlignment="1">
      <alignment horizontal="center" vertical="center" indent="2"/>
    </xf>
    <xf numFmtId="169" fontId="2" fillId="5" borderId="39" xfId="1" applyNumberFormat="1" applyFont="1" applyFill="1" applyBorder="1" applyAlignment="1">
      <alignment horizontal="center" vertical="center" indent="1"/>
    </xf>
    <xf numFmtId="167" fontId="2" fillId="7" borderId="0" xfId="0" applyNumberFormat="1" applyFont="1" applyFill="1" applyAlignment="1">
      <alignment horizontal="center" vertical="center" indent="1"/>
    </xf>
    <xf numFmtId="169" fontId="2" fillId="7" borderId="16" xfId="0" applyNumberFormat="1" applyFont="1" applyFill="1" applyBorder="1" applyAlignment="1">
      <alignment horizontal="center" vertical="center" indent="1"/>
    </xf>
    <xf numFmtId="169" fontId="2" fillId="7" borderId="0" xfId="0" applyNumberFormat="1" applyFont="1" applyFill="1" applyAlignment="1">
      <alignment horizontal="center" vertical="center" indent="1"/>
    </xf>
    <xf numFmtId="169" fontId="2" fillId="7" borderId="17" xfId="0" applyNumberFormat="1" applyFont="1" applyFill="1" applyBorder="1" applyAlignment="1">
      <alignment horizontal="center" vertical="center" indent="1"/>
    </xf>
    <xf numFmtId="168" fontId="2" fillId="5" borderId="19" xfId="1" applyNumberFormat="1" applyFont="1" applyFill="1" applyBorder="1" applyAlignment="1">
      <alignment horizontal="center" vertical="center"/>
    </xf>
    <xf numFmtId="164" fontId="0" fillId="0" borderId="0" xfId="0" applyNumberFormat="1"/>
    <xf numFmtId="168" fontId="0" fillId="0" borderId="0" xfId="0" applyNumberFormat="1"/>
    <xf numFmtId="167" fontId="11" fillId="8" borderId="1" xfId="0" applyNumberFormat="1" applyFont="1" applyFill="1" applyBorder="1" applyAlignment="1">
      <alignment horizontal="center" vertical="center"/>
    </xf>
    <xf numFmtId="167" fontId="4" fillId="8" borderId="1" xfId="0" applyNumberFormat="1" applyFont="1" applyFill="1" applyBorder="1" applyAlignment="1">
      <alignment horizontal="center" vertical="center"/>
    </xf>
    <xf numFmtId="0" fontId="10" fillId="9" borderId="11" xfId="0" applyFont="1" applyFill="1" applyBorder="1"/>
    <xf numFmtId="169" fontId="2" fillId="10" borderId="16" xfId="1" applyNumberFormat="1" applyFont="1" applyFill="1" applyBorder="1" applyAlignment="1">
      <alignment horizontal="center" vertical="center"/>
    </xf>
    <xf numFmtId="169" fontId="2" fillId="10" borderId="13" xfId="1" applyNumberFormat="1" applyFont="1" applyFill="1" applyBorder="1" applyAlignment="1">
      <alignment horizontal="center" vertical="center"/>
    </xf>
    <xf numFmtId="169" fontId="2" fillId="10" borderId="19" xfId="1" applyNumberFormat="1" applyFont="1" applyFill="1" applyBorder="1" applyAlignment="1">
      <alignment horizontal="center" vertical="center"/>
    </xf>
    <xf numFmtId="169" fontId="2" fillId="11" borderId="2" xfId="1" applyNumberFormat="1" applyFont="1" applyFill="1" applyBorder="1" applyAlignment="1">
      <alignment horizontal="center" vertical="center"/>
    </xf>
    <xf numFmtId="0" fontId="10" fillId="12" borderId="11" xfId="0" applyFont="1" applyFill="1" applyBorder="1"/>
    <xf numFmtId="167" fontId="11" fillId="12" borderId="11" xfId="0" applyNumberFormat="1" applyFont="1" applyFill="1" applyBorder="1" applyAlignment="1">
      <alignment horizontal="center" vertical="center"/>
    </xf>
    <xf numFmtId="167" fontId="4" fillId="12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/>
    <xf numFmtId="167" fontId="11" fillId="12" borderId="1" xfId="0" applyNumberFormat="1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 indent="1"/>
    </xf>
    <xf numFmtId="0" fontId="4" fillId="8" borderId="0" xfId="0" applyFont="1" applyFill="1" applyAlignment="1">
      <alignment horizontal="center" vertical="center" indent="1"/>
    </xf>
    <xf numFmtId="170" fontId="2" fillId="11" borderId="15" xfId="0" applyNumberFormat="1" applyFont="1" applyFill="1" applyBorder="1" applyAlignment="1">
      <alignment horizontal="center" vertical="center"/>
    </xf>
    <xf numFmtId="170" fontId="2" fillId="11" borderId="20" xfId="0" applyNumberFormat="1" applyFont="1" applyFill="1" applyBorder="1" applyAlignment="1">
      <alignment horizontal="center" vertical="center"/>
    </xf>
    <xf numFmtId="170" fontId="2" fillId="11" borderId="27" xfId="0" applyNumberFormat="1" applyFont="1" applyFill="1" applyBorder="1" applyAlignment="1">
      <alignment horizontal="center" vertical="center"/>
    </xf>
    <xf numFmtId="170" fontId="14" fillId="5" borderId="0" xfId="0" applyNumberFormat="1" applyFont="1" applyFill="1" applyAlignment="1">
      <alignment horizontal="center" vertical="center"/>
    </xf>
  </cellXfs>
  <cellStyles count="2">
    <cellStyle name="60% - Accent1" xfId="1" builtinId="32"/>
    <cellStyle name="Normal" xfId="0" builtinId="0"/>
  </cellStyles>
  <dxfs count="254"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vertical="center"/>
    </dxf>
    <dxf>
      <alignment horizontal="center"/>
    </dxf>
    <dxf>
      <alignment vertical="center"/>
    </dxf>
    <dxf>
      <alignment horizontal="center"/>
    </dxf>
    <dxf>
      <numFmt numFmtId="167" formatCode="[$RM-4409]#,##0.00"/>
    </dxf>
    <dxf>
      <numFmt numFmtId="167" formatCode="[$RM-4409]#,##0.00"/>
    </dxf>
    <dxf>
      <alignment vertical="center"/>
    </dxf>
    <dxf>
      <alignment horizontal="center"/>
    </dxf>
    <dxf>
      <numFmt numFmtId="167" formatCode="[$RM-4409]#,##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4B084"/>
        </patternFill>
      </fill>
    </dxf>
    <dxf>
      <fill>
        <patternFill patternType="solid">
          <fgColor indexed="64"/>
          <bgColor rgb="FFF4B084"/>
        </patternFill>
      </fill>
    </dxf>
    <dxf>
      <fill>
        <patternFill patternType="solid">
          <fgColor indexed="64"/>
          <bgColor rgb="FFF4B084"/>
        </patternFill>
      </fill>
    </dxf>
    <dxf>
      <fill>
        <patternFill patternType="solid">
          <fgColor indexed="64"/>
          <bgColor rgb="FFF4B084"/>
        </patternFill>
      </fill>
    </dxf>
    <dxf>
      <fill>
        <patternFill patternType="solid">
          <fgColor indexed="64"/>
          <bgColor rgb="FFF4B084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C6E0B4"/>
        </patternFill>
      </fill>
    </dxf>
    <dxf>
      <fill>
        <patternFill patternType="solid">
          <fgColor indexed="64"/>
          <bgColor rgb="FF305496"/>
        </patternFill>
      </fill>
    </dxf>
    <dxf>
      <fill>
        <patternFill patternType="solid">
          <fgColor indexed="64"/>
          <bgColor rgb="FF305496"/>
        </patternFill>
      </fill>
    </dxf>
    <dxf>
      <fill>
        <patternFill patternType="solid">
          <fgColor indexed="64"/>
          <bgColor rgb="FF305496"/>
        </patternFill>
      </fill>
    </dxf>
    <dxf>
      <fill>
        <patternFill patternType="solid">
          <fgColor indexed="64"/>
          <bgColor rgb="FF305496"/>
        </patternFill>
      </fill>
    </dxf>
    <dxf>
      <fill>
        <patternFill patternType="solid">
          <fgColor indexed="64"/>
          <bgColor rgb="FF305496"/>
        </patternFill>
      </fill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</font>
    </dxf>
    <dxf>
      <font>
        <b val="0"/>
      </font>
    </dxf>
    <dxf>
      <font>
        <b val="0"/>
      </font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rgb="FF9E79C7"/>
        </patternFill>
      </fill>
    </dxf>
    <dxf>
      <font>
        <name val="Calibri"/>
      </font>
    </dxf>
    <dxf>
      <font>
        <name val="Calibri"/>
      </font>
    </dxf>
    <dxf>
      <numFmt numFmtId="167" formatCode="[$RM-4409]#,##0.00"/>
    </dxf>
    <dxf>
      <font>
        <name val="Times New Roman"/>
      </font>
    </dxf>
    <dxf>
      <numFmt numFmtId="167" formatCode="[$RM-4409]#,##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</dxf>
    <dxf>
      <fill>
        <patternFill patternType="solid">
          <fgColor indexed="64"/>
          <bgColor rgb="FFDAC5ED"/>
        </patternFill>
      </fill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</font>
    </dxf>
    <dxf>
      <font>
        <name val="Calibri"/>
      </font>
    </dxf>
    <dxf>
      <font>
        <color rgb="FFDAC5ED"/>
      </font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rgb="FFDAC5ED"/>
        </patternFill>
      </fill>
    </dxf>
    <dxf>
      <fill>
        <patternFill patternType="solid">
          <fgColor indexed="64"/>
          <bgColor rgb="FFDAC5ED"/>
        </patternFill>
      </fill>
    </dxf>
    <dxf>
      <fill>
        <patternFill patternType="solid">
          <fgColor indexed="64"/>
          <bgColor rgb="FFDAC5ED"/>
        </patternFill>
      </fill>
    </dxf>
    <dxf>
      <fill>
        <patternFill patternType="solid">
          <fgColor indexed="64"/>
          <bgColor rgb="FFDAC5ED"/>
        </patternFill>
      </fill>
    </dxf>
    <dxf>
      <fill>
        <patternFill patternType="solid">
          <fgColor indexed="64"/>
          <bgColor rgb="FFDAC5ED"/>
        </patternFill>
      </fill>
    </dxf>
    <dxf>
      <fill>
        <patternFill patternType="solid">
          <fgColor indexed="64"/>
          <bgColor rgb="FFDAC5ED"/>
        </patternFill>
      </fill>
    </dxf>
    <dxf>
      <fill>
        <patternFill patternType="solid">
          <fgColor indexed="64"/>
          <bgColor rgb="FFDAC5ED"/>
        </patternFill>
      </fill>
    </dxf>
    <dxf>
      <fill>
        <patternFill patternType="solid">
          <fgColor indexed="64"/>
          <bgColor rgb="FFDAC5ED"/>
        </patternFill>
      </fill>
    </dxf>
    <dxf>
      <fill>
        <patternFill patternType="solid">
          <fgColor indexed="64"/>
          <bgColor rgb="FFDAC5ED"/>
        </patternFill>
      </fill>
    </dxf>
    <dxf>
      <fill>
        <patternFill patternType="solid">
          <fgColor indexed="64"/>
          <bgColor rgb="FFDAC5ED"/>
        </patternFill>
      </fill>
    </dxf>
    <dxf>
      <fill>
        <patternFill patternType="solid">
          <fgColor indexed="64"/>
          <bgColor rgb="FFDAC5ED"/>
        </patternFill>
      </fill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rgb="FF9E79C7"/>
        </patternFill>
      </fill>
    </dxf>
    <dxf>
      <fill>
        <patternFill patternType="solid">
          <fgColor indexed="64"/>
          <bgColor rgb="FF9E79C7"/>
        </patternFill>
      </fill>
    </dxf>
    <dxf>
      <fill>
        <patternFill patternType="solid">
          <fgColor indexed="64"/>
          <bgColor rgb="FF9E79C7"/>
        </patternFill>
      </fill>
    </dxf>
    <dxf>
      <fill>
        <patternFill patternType="solid">
          <fgColor indexed="64"/>
          <bgColor rgb="FF9E79C7"/>
        </patternFill>
      </fill>
    </dxf>
    <dxf>
      <fill>
        <patternFill patternType="solid">
          <fgColor indexed="64"/>
          <bgColor rgb="FF9E79C7"/>
        </patternFill>
      </fill>
    </dxf>
    <dxf>
      <alignment vertical="center"/>
    </dxf>
    <dxf>
      <alignment horizontal="center"/>
    </dxf>
    <dxf>
      <fill>
        <patternFill patternType="solid">
          <fgColor indexed="64"/>
          <bgColor rgb="FFDAC5ED"/>
        </patternFill>
      </fill>
    </dxf>
    <dxf>
      <fill>
        <patternFill patternType="solid">
          <fgColor indexed="64"/>
          <bgColor rgb="FFDAC5ED"/>
        </patternFill>
      </fill>
    </dxf>
    <dxf>
      <fill>
        <patternFill patternType="solid">
          <fgColor indexed="64"/>
          <bgColor rgb="FF9E79C7"/>
        </patternFill>
      </fill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7" formatCode="[$RM-4409]#,##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rgb="FFDAC5ED"/>
        </patternFill>
      </fill>
    </dxf>
    <dxf>
      <fill>
        <patternFill patternType="solid">
          <fgColor indexed="64"/>
          <bgColor rgb="FFDAC5ED"/>
        </patternFill>
      </fill>
    </dxf>
    <dxf>
      <fill>
        <patternFill patternType="solid">
          <fgColor indexed="64"/>
          <bgColor rgb="FFDAC5ED"/>
        </patternFill>
      </fill>
    </dxf>
    <dxf>
      <fill>
        <patternFill patternType="solid">
          <fgColor indexed="64"/>
          <bgColor rgb="FFDAC5ED"/>
        </patternFill>
      </fill>
    </dxf>
    <dxf>
      <fill>
        <patternFill patternType="solid">
          <fgColor indexed="64"/>
          <bgColor rgb="FFDAC5ED"/>
        </patternFill>
      </fill>
    </dxf>
    <dxf>
      <fill>
        <patternFill patternType="solid">
          <fgColor indexed="64"/>
          <bgColor rgb="FFDAC5ED"/>
        </patternFill>
      </fill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rgb="FF9E79C7"/>
        </patternFill>
      </fill>
    </dxf>
    <dxf>
      <fill>
        <patternFill patternType="solid">
          <fgColor indexed="64"/>
          <bgColor rgb="FF9E79C7"/>
        </patternFill>
      </fill>
    </dxf>
    <dxf>
      <fill>
        <patternFill patternType="solid">
          <fgColor indexed="64"/>
          <bgColor rgb="FF9E79C7"/>
        </patternFill>
      </fill>
    </dxf>
    <dxf>
      <fill>
        <patternFill patternType="solid">
          <fgColor indexed="64"/>
          <bgColor rgb="FF9E79C7"/>
        </patternFill>
      </fill>
    </dxf>
    <dxf>
      <fill>
        <patternFill patternType="solid">
          <fgColor indexed="64"/>
          <bgColor rgb="FF9E79C7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BDBFF0"/>
          <bgColor indexed="65"/>
        </patternFill>
      </fill>
    </dxf>
  </dxfs>
  <tableStyles count="0" defaultTableStyle="TableStyleMedium2" defaultPivotStyle="PivotStyleMedium9"/>
  <colors>
    <mruColors>
      <color rgb="FFDAC5ED"/>
      <color rgb="FF9E79C7"/>
      <color rgb="FFBDBFF0"/>
      <color rgb="FF5F7AD9"/>
      <color rgb="FF9194C7"/>
      <color rgb="FFA9ABD4"/>
      <color rgb="FF6F8AE8"/>
      <color rgb="FFD2BAE8"/>
      <color rgb="FF714E94"/>
      <color rgb="FFD477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[Manreen and Nesya Spreadsheet FINAL.xlsx]Analysis Sheet!PivotTable1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INVENTORY</a:t>
            </a:r>
          </a:p>
        </c:rich>
      </c:tx>
      <c:overlay val="0"/>
      <c:spPr>
        <a:solidFill>
          <a:srgbClr val="D0CECE"/>
        </a:solidFill>
        <a:ln>
          <a:solidFill>
            <a:srgbClr val="AEAAAA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05496"/>
          </a:solidFill>
          <a:ln>
            <a:solidFill>
              <a:srgbClr val="333F4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E0B4"/>
          </a:solidFill>
          <a:ln>
            <a:solidFill>
              <a:srgbClr val="A9D08E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05496"/>
          </a:solidFill>
          <a:ln>
            <a:solidFill>
              <a:srgbClr val="20376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Sheet'!$C$5</c:f>
              <c:strCache>
                <c:ptCount val="1"/>
                <c:pt idx="0">
                  <c:v>Sum of PRODUCT SOLD (RM)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A9D08E"/>
              </a:solidFill>
              <a:prstDash val="solid"/>
            </a:ln>
            <a:effectLst/>
          </c:spPr>
          <c:invertIfNegative val="0"/>
          <c:cat>
            <c:multiLvlStrRef>
              <c:f>'Analysis Sheet'!$A$6:$B$22</c:f>
              <c:multiLvlStrCache>
                <c:ptCount val="8"/>
                <c:lvl>
                  <c:pt idx="0">
                    <c:v>.Flour
.Leaveners
.Sugar
.Dairy</c:v>
                  </c:pt>
                  <c:pt idx="1">
                    <c:v>.Baguetta
.Brioche
.Challah
.Focaccia
.Soft rolls</c:v>
                  </c:pt>
                  <c:pt idx="2">
                    <c:v>.Buttercake
.Chocolate brulee
.Macademia
.Red velvet
.Tiramisu</c:v>
                  </c:pt>
                  <c:pt idx="3">
                    <c:v>.Cookies&amp;cream cookies
.Jawa chip cookies
.Lemon cookies
.Macademia cookies</c:v>
                  </c:pt>
                  <c:pt idx="4">
                    <c:v>.Dark chocolate
.Vanilla
.Strawberry
.Mocha</c:v>
                  </c:pt>
                  <c:pt idx="5">
                    <c:v>.Chocolate croissant
.Chocolate eclair
.Scone strawberry jam
.Vanilla donut</c:v>
                  </c:pt>
                  <c:pt idx="6">
                    <c:v>.Chocolate pudding
.Apple tart
.Fruit pudding
.Almond pudding</c:v>
                  </c:pt>
                  <c:pt idx="7">
                    <c:v>.Cutlery
.Measuring spoons 
and cups
.Spatula
.Baking trays</c:v>
                  </c:pt>
                </c:lvl>
                <c:lvl>
                  <c:pt idx="0">
                    <c:v>Baking supplies</c:v>
                  </c:pt>
                  <c:pt idx="1">
                    <c:v>Bread</c:v>
                  </c:pt>
                  <c:pt idx="2">
                    <c:v>Cake</c:v>
                  </c:pt>
                  <c:pt idx="3">
                    <c:v>Cookie</c:v>
                  </c:pt>
                  <c:pt idx="4">
                    <c:v>Cupcake</c:v>
                  </c:pt>
                  <c:pt idx="5">
                    <c:v>Pastry</c:v>
                  </c:pt>
                  <c:pt idx="6">
                    <c:v>Pudding</c:v>
                  </c:pt>
                  <c:pt idx="7">
                    <c:v>Utensils</c:v>
                  </c:pt>
                </c:lvl>
              </c:multiLvlStrCache>
            </c:multiLvlStrRef>
          </c:cat>
          <c:val>
            <c:numRef>
              <c:f>'Analysis Sheet'!$C$6:$C$22</c:f>
              <c:numCache>
                <c:formatCode>[$RM-4409]#,##0.00</c:formatCode>
                <c:ptCount val="8"/>
                <c:pt idx="0">
                  <c:v>8500</c:v>
                </c:pt>
                <c:pt idx="1">
                  <c:v>6600</c:v>
                </c:pt>
                <c:pt idx="2">
                  <c:v>4000</c:v>
                </c:pt>
                <c:pt idx="3">
                  <c:v>5300</c:v>
                </c:pt>
                <c:pt idx="4">
                  <c:v>7500</c:v>
                </c:pt>
                <c:pt idx="5">
                  <c:v>8000</c:v>
                </c:pt>
                <c:pt idx="6">
                  <c:v>3100</c:v>
                </c:pt>
                <c:pt idx="7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62-4B5A-85C2-CD49661CEBDD}"/>
            </c:ext>
          </c:extLst>
        </c:ser>
        <c:ser>
          <c:idx val="1"/>
          <c:order val="1"/>
          <c:tx>
            <c:strRef>
              <c:f>'Analysis Sheet'!$D$5</c:f>
              <c:strCache>
                <c:ptCount val="1"/>
                <c:pt idx="0">
                  <c:v>Sum of PRODUCT NOT SOLD (RM)</c:v>
                </c:pt>
              </c:strCache>
            </c:strRef>
          </c:tx>
          <c:spPr>
            <a:solidFill>
              <a:srgbClr val="305496"/>
            </a:solidFill>
            <a:ln>
              <a:solidFill>
                <a:srgbClr val="203764"/>
              </a:solidFill>
              <a:prstDash val="solid"/>
            </a:ln>
            <a:effectLst/>
          </c:spPr>
          <c:invertIfNegative val="0"/>
          <c:cat>
            <c:multiLvlStrRef>
              <c:f>'Analysis Sheet'!$A$6:$B$22</c:f>
              <c:multiLvlStrCache>
                <c:ptCount val="8"/>
                <c:lvl>
                  <c:pt idx="0">
                    <c:v>.Flour
.Leaveners
.Sugar
.Dairy</c:v>
                  </c:pt>
                  <c:pt idx="1">
                    <c:v>.Baguetta
.Brioche
.Challah
.Focaccia
.Soft rolls</c:v>
                  </c:pt>
                  <c:pt idx="2">
                    <c:v>.Buttercake
.Chocolate brulee
.Macademia
.Red velvet
.Tiramisu</c:v>
                  </c:pt>
                  <c:pt idx="3">
                    <c:v>.Cookies&amp;cream cookies
.Jawa chip cookies
.Lemon cookies
.Macademia cookies</c:v>
                  </c:pt>
                  <c:pt idx="4">
                    <c:v>.Dark chocolate
.Vanilla
.Strawberry
.Mocha</c:v>
                  </c:pt>
                  <c:pt idx="5">
                    <c:v>.Chocolate croissant
.Chocolate eclair
.Scone strawberry jam
.Vanilla donut</c:v>
                  </c:pt>
                  <c:pt idx="6">
                    <c:v>.Chocolate pudding
.Apple tart
.Fruit pudding
.Almond pudding</c:v>
                  </c:pt>
                  <c:pt idx="7">
                    <c:v>.Cutlery
.Measuring spoons 
and cups
.Spatula
.Baking trays</c:v>
                  </c:pt>
                </c:lvl>
                <c:lvl>
                  <c:pt idx="0">
                    <c:v>Baking supplies</c:v>
                  </c:pt>
                  <c:pt idx="1">
                    <c:v>Bread</c:v>
                  </c:pt>
                  <c:pt idx="2">
                    <c:v>Cake</c:v>
                  </c:pt>
                  <c:pt idx="3">
                    <c:v>Cookie</c:v>
                  </c:pt>
                  <c:pt idx="4">
                    <c:v>Cupcake</c:v>
                  </c:pt>
                  <c:pt idx="5">
                    <c:v>Pastry</c:v>
                  </c:pt>
                  <c:pt idx="6">
                    <c:v>Pudding</c:v>
                  </c:pt>
                  <c:pt idx="7">
                    <c:v>Utensils</c:v>
                  </c:pt>
                </c:lvl>
              </c:multiLvlStrCache>
            </c:multiLvlStrRef>
          </c:cat>
          <c:val>
            <c:numRef>
              <c:f>'Analysis Sheet'!$D$6:$D$22</c:f>
              <c:numCache>
                <c:formatCode>[$RM-4409]#,##0.00</c:formatCode>
                <c:ptCount val="8"/>
                <c:pt idx="0">
                  <c:v>5000</c:v>
                </c:pt>
                <c:pt idx="1">
                  <c:v>3200</c:v>
                </c:pt>
                <c:pt idx="2">
                  <c:v>1200</c:v>
                </c:pt>
                <c:pt idx="3">
                  <c:v>1500</c:v>
                </c:pt>
                <c:pt idx="4">
                  <c:v>2500</c:v>
                </c:pt>
                <c:pt idx="5">
                  <c:v>5800</c:v>
                </c:pt>
                <c:pt idx="6">
                  <c:v>1600</c:v>
                </c:pt>
                <c:pt idx="7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9C-4592-A900-73149D2AB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1295349112"/>
        <c:axId val="531103592"/>
      </c:barChart>
      <c:catAx>
        <c:axId val="129534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31103592"/>
        <c:crosses val="autoZero"/>
        <c:auto val="1"/>
        <c:lblAlgn val="ctr"/>
        <c:lblOffset val="100"/>
        <c:noMultiLvlLbl val="0"/>
      </c:catAx>
      <c:valAx>
        <c:axId val="53110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M-4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5349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D0CECE"/>
        </a:solidFill>
        <a:ln>
          <a:solidFill>
            <a:srgbClr val="3A3838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[Manreen and Nesya Spreadsheet FINAL.xlsx]Analysis Sheet!PivotTable2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solidFill>
          <a:srgbClr val="D0CECE"/>
        </a:solidFill>
        <a:ln>
          <a:solidFill>
            <a:srgbClr val="AEAAAA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C2E6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solidFill>
              <a:srgbClr val="2F75B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'Analysis Sheet'!$H$5</c:f>
              <c:strCache>
                <c:ptCount val="1"/>
                <c:pt idx="0">
                  <c:v>Sum of ITEMS SOLD</c:v>
                </c:pt>
              </c:strCache>
            </c:strRef>
          </c:tx>
          <c:spPr>
            <a:solidFill>
              <a:srgbClr val="9BC2E6"/>
            </a:solidFill>
            <a:ln>
              <a:solidFill>
                <a:srgbClr val="000000"/>
              </a:solidFill>
              <a:prstDash val="solid"/>
            </a:ln>
            <a:effectLst/>
          </c:spPr>
          <c:cat>
            <c:multiLvlStrRef>
              <c:f>'Analysis Sheet'!$F$6:$G$17</c:f>
              <c:multiLvlStrCache>
                <c:ptCount val="8"/>
                <c:lvl>
                  <c:pt idx="0">
                    <c:v>Pastry</c:v>
                  </c:pt>
                  <c:pt idx="1">
                    <c:v>Cupcake</c:v>
                  </c:pt>
                  <c:pt idx="2">
                    <c:v>Bread</c:v>
                  </c:pt>
                  <c:pt idx="3">
                    <c:v>Cookie</c:v>
                  </c:pt>
                  <c:pt idx="4">
                    <c:v>Cake</c:v>
                  </c:pt>
                  <c:pt idx="5">
                    <c:v>Pudding</c:v>
                  </c:pt>
                  <c:pt idx="6">
                    <c:v>Baking supplies</c:v>
                  </c:pt>
                  <c:pt idx="7">
                    <c:v>Utensils</c:v>
                  </c:pt>
                </c:lvl>
                <c:lvl>
                  <c:pt idx="0">
                    <c:v>-</c:v>
                  </c:pt>
                  <c:pt idx="6">
                    <c:v>Mondelez International Goods</c:v>
                  </c:pt>
                  <c:pt idx="7">
                    <c:v>Silver Chef</c:v>
                  </c:pt>
                </c:lvl>
              </c:multiLvlStrCache>
            </c:multiLvlStrRef>
          </c:cat>
          <c:val>
            <c:numRef>
              <c:f>'Analysis Sheet'!$H$6:$H$17</c:f>
              <c:numCache>
                <c:formatCode>[$RM-4409]#,##0.00</c:formatCode>
                <c:ptCount val="8"/>
                <c:pt idx="0">
                  <c:v>8000</c:v>
                </c:pt>
                <c:pt idx="1">
                  <c:v>7500</c:v>
                </c:pt>
                <c:pt idx="2">
                  <c:v>6600</c:v>
                </c:pt>
                <c:pt idx="3">
                  <c:v>5300</c:v>
                </c:pt>
                <c:pt idx="4">
                  <c:v>4000</c:v>
                </c:pt>
                <c:pt idx="5">
                  <c:v>3100</c:v>
                </c:pt>
                <c:pt idx="6">
                  <c:v>8500</c:v>
                </c:pt>
                <c:pt idx="7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2-4C46-92CF-87806DE02B68}"/>
            </c:ext>
          </c:extLst>
        </c:ser>
        <c:ser>
          <c:idx val="1"/>
          <c:order val="1"/>
          <c:tx>
            <c:strRef>
              <c:f>'Analysis Sheet'!$I$5</c:f>
              <c:strCache>
                <c:ptCount val="1"/>
                <c:pt idx="0">
                  <c:v>Sum of REVENUE (RM)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2F75B5"/>
              </a:solidFill>
              <a:prstDash val="solid"/>
            </a:ln>
            <a:effectLst/>
          </c:spPr>
          <c:cat>
            <c:multiLvlStrRef>
              <c:f>'Analysis Sheet'!$F$6:$G$17</c:f>
              <c:multiLvlStrCache>
                <c:ptCount val="8"/>
                <c:lvl>
                  <c:pt idx="0">
                    <c:v>Pastry</c:v>
                  </c:pt>
                  <c:pt idx="1">
                    <c:v>Cupcake</c:v>
                  </c:pt>
                  <c:pt idx="2">
                    <c:v>Bread</c:v>
                  </c:pt>
                  <c:pt idx="3">
                    <c:v>Cookie</c:v>
                  </c:pt>
                  <c:pt idx="4">
                    <c:v>Cake</c:v>
                  </c:pt>
                  <c:pt idx="5">
                    <c:v>Pudding</c:v>
                  </c:pt>
                  <c:pt idx="6">
                    <c:v>Baking supplies</c:v>
                  </c:pt>
                  <c:pt idx="7">
                    <c:v>Utensils</c:v>
                  </c:pt>
                </c:lvl>
                <c:lvl>
                  <c:pt idx="0">
                    <c:v>-</c:v>
                  </c:pt>
                  <c:pt idx="6">
                    <c:v>Mondelez International Goods</c:v>
                  </c:pt>
                  <c:pt idx="7">
                    <c:v>Silver Chef</c:v>
                  </c:pt>
                </c:lvl>
              </c:multiLvlStrCache>
            </c:multiLvlStrRef>
          </c:cat>
          <c:val>
            <c:numRef>
              <c:f>'Analysis Sheet'!$I$6:$I$17</c:f>
              <c:numCache>
                <c:formatCode>[$RM-4409]#,##0.00</c:formatCode>
                <c:ptCount val="8"/>
                <c:pt idx="0">
                  <c:v>168000</c:v>
                </c:pt>
                <c:pt idx="1">
                  <c:v>210000</c:v>
                </c:pt>
                <c:pt idx="2">
                  <c:v>46200</c:v>
                </c:pt>
                <c:pt idx="3">
                  <c:v>111300</c:v>
                </c:pt>
                <c:pt idx="4">
                  <c:v>364000</c:v>
                </c:pt>
                <c:pt idx="5">
                  <c:v>86800</c:v>
                </c:pt>
                <c:pt idx="6">
                  <c:v>35700</c:v>
                </c:pt>
                <c:pt idx="7">
                  <c:v>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02-4C46-92CF-87806DE02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916551"/>
        <c:axId val="2107093175"/>
      </c:areaChart>
      <c:catAx>
        <c:axId val="524916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07093175"/>
        <c:crosses val="autoZero"/>
        <c:auto val="1"/>
        <c:lblAlgn val="ctr"/>
        <c:lblOffset val="100"/>
        <c:noMultiLvlLbl val="0"/>
      </c:catAx>
      <c:valAx>
        <c:axId val="2107093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M-4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24916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[Manreen and Nesya Spreadsheet FINAL.xlsx]Analysis Sheet!PivotTable3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SALARY</a:t>
            </a:r>
          </a:p>
        </c:rich>
      </c:tx>
      <c:overlay val="0"/>
      <c:spPr>
        <a:solidFill>
          <a:srgbClr val="D0CECE"/>
        </a:solidFill>
        <a:ln>
          <a:solidFill>
            <a:srgbClr val="AEAAAA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4B084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D96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C6591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BF8F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833C0C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Sheet'!$T$5</c:f>
              <c:strCache>
                <c:ptCount val="1"/>
                <c:pt idx="0">
                  <c:v>Sum of Salary (RM)</c:v>
                </c:pt>
              </c:strCache>
            </c:strRef>
          </c:tx>
          <c:spPr>
            <a:ln w="28575" cap="rnd">
              <a:solidFill>
                <a:srgbClr val="F4B08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'Analysis Sheet'!$R$6:$S$17</c:f>
              <c:multiLvlStrCache>
                <c:ptCount val="7"/>
                <c:lvl>
                  <c:pt idx="0">
                    <c:v>Gabriella Anne</c:v>
                  </c:pt>
                  <c:pt idx="1">
                    <c:v>Karina Yoo</c:v>
                  </c:pt>
                  <c:pt idx="2">
                    <c:v>John Doe</c:v>
                  </c:pt>
                  <c:pt idx="3">
                    <c:v>Christopher Lee</c:v>
                  </c:pt>
                  <c:pt idx="4">
                    <c:v>Jake Orlando</c:v>
                  </c:pt>
                  <c:pt idx="5">
                    <c:v>Jane Smith</c:v>
                  </c:pt>
                  <c:pt idx="6">
                    <c:v>(blank)</c:v>
                  </c:pt>
                </c:lvl>
                <c:lvl>
                  <c:pt idx="0">
                    <c:v>Baker</c:v>
                  </c:pt>
                  <c:pt idx="2">
                    <c:v>Manager</c:v>
                  </c:pt>
                  <c:pt idx="3">
                    <c:v>Promoter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'Analysis Sheet'!$T$6:$T$17</c:f>
              <c:numCache>
                <c:formatCode>[$RM-4409]#,##0.00</c:formatCode>
                <c:ptCount val="7"/>
                <c:pt idx="0">
                  <c:v>2000</c:v>
                </c:pt>
                <c:pt idx="1">
                  <c:v>2000</c:v>
                </c:pt>
                <c:pt idx="2">
                  <c:v>5800</c:v>
                </c:pt>
                <c:pt idx="3">
                  <c:v>1800</c:v>
                </c:pt>
                <c:pt idx="4">
                  <c:v>1800</c:v>
                </c:pt>
                <c:pt idx="5">
                  <c:v>1800</c:v>
                </c:pt>
                <c:pt idx="6">
                  <c:v>252656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97-4F49-8DC7-1697B64E5B79}"/>
            </c:ext>
          </c:extLst>
        </c:ser>
        <c:ser>
          <c:idx val="1"/>
          <c:order val="1"/>
          <c:tx>
            <c:strRef>
              <c:f>'Analysis Sheet'!$U$5</c:f>
              <c:strCache>
                <c:ptCount val="1"/>
                <c:pt idx="0">
                  <c:v>Sum of Sales Revenue (RM)</c:v>
                </c:pt>
              </c:strCache>
            </c:strRef>
          </c:tx>
          <c:spPr>
            <a:ln w="28575" cap="rnd">
              <a:solidFill>
                <a:srgbClr val="FFD96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'Analysis Sheet'!$R$6:$S$17</c:f>
              <c:multiLvlStrCache>
                <c:ptCount val="7"/>
                <c:lvl>
                  <c:pt idx="0">
                    <c:v>Gabriella Anne</c:v>
                  </c:pt>
                  <c:pt idx="1">
                    <c:v>Karina Yoo</c:v>
                  </c:pt>
                  <c:pt idx="2">
                    <c:v>John Doe</c:v>
                  </c:pt>
                  <c:pt idx="3">
                    <c:v>Christopher Lee</c:v>
                  </c:pt>
                  <c:pt idx="4">
                    <c:v>Jake Orlando</c:v>
                  </c:pt>
                  <c:pt idx="5">
                    <c:v>Jane Smith</c:v>
                  </c:pt>
                  <c:pt idx="6">
                    <c:v>(blank)</c:v>
                  </c:pt>
                </c:lvl>
                <c:lvl>
                  <c:pt idx="0">
                    <c:v>Baker</c:v>
                  </c:pt>
                  <c:pt idx="2">
                    <c:v>Manager</c:v>
                  </c:pt>
                  <c:pt idx="3">
                    <c:v>Promoter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'Analysis Sheet'!$U$6:$U$17</c:f>
              <c:numCache>
                <c:formatCode>[$RM-4409]#,##0.00</c:formatCode>
                <c:ptCount val="7"/>
                <c:pt idx="0">
                  <c:v>111300</c:v>
                </c:pt>
                <c:pt idx="1">
                  <c:v>46200</c:v>
                </c:pt>
                <c:pt idx="2">
                  <c:v>364000</c:v>
                </c:pt>
                <c:pt idx="3">
                  <c:v>119700</c:v>
                </c:pt>
                <c:pt idx="4">
                  <c:v>210000</c:v>
                </c:pt>
                <c:pt idx="5">
                  <c:v>168000</c:v>
                </c:pt>
                <c:pt idx="6">
                  <c:v>1019200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97-4F49-8DC7-1697B64E5B79}"/>
            </c:ext>
          </c:extLst>
        </c:ser>
        <c:ser>
          <c:idx val="2"/>
          <c:order val="2"/>
          <c:tx>
            <c:strRef>
              <c:f>'Analysis Sheet'!$V$5</c:f>
              <c:strCache>
                <c:ptCount val="1"/>
                <c:pt idx="0">
                  <c:v>Sum of Commission Utensils (RM)</c:v>
                </c:pt>
              </c:strCache>
            </c:strRef>
          </c:tx>
          <c:spPr>
            <a:ln w="28575" cap="rnd">
              <a:solidFill>
                <a:srgbClr val="C6591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'Analysis Sheet'!$R$6:$S$17</c:f>
              <c:multiLvlStrCache>
                <c:ptCount val="7"/>
                <c:lvl>
                  <c:pt idx="0">
                    <c:v>Gabriella Anne</c:v>
                  </c:pt>
                  <c:pt idx="1">
                    <c:v>Karina Yoo</c:v>
                  </c:pt>
                  <c:pt idx="2">
                    <c:v>John Doe</c:v>
                  </c:pt>
                  <c:pt idx="3">
                    <c:v>Christopher Lee</c:v>
                  </c:pt>
                  <c:pt idx="4">
                    <c:v>Jake Orlando</c:v>
                  </c:pt>
                  <c:pt idx="5">
                    <c:v>Jane Smith</c:v>
                  </c:pt>
                  <c:pt idx="6">
                    <c:v>(blank)</c:v>
                  </c:pt>
                </c:lvl>
                <c:lvl>
                  <c:pt idx="0">
                    <c:v>Baker</c:v>
                  </c:pt>
                  <c:pt idx="2">
                    <c:v>Manager</c:v>
                  </c:pt>
                  <c:pt idx="3">
                    <c:v>Promoter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'Analysis Sheet'!$V$6:$V$17</c:f>
              <c:numCache>
                <c:formatCode>[$RM-4409]#,##0.00</c:formatCode>
                <c:ptCount val="7"/>
                <c:pt idx="0">
                  <c:v>6678</c:v>
                </c:pt>
                <c:pt idx="1">
                  <c:v>2772</c:v>
                </c:pt>
                <c:pt idx="2">
                  <c:v>21840</c:v>
                </c:pt>
                <c:pt idx="3">
                  <c:v>7182</c:v>
                </c:pt>
                <c:pt idx="4">
                  <c:v>12600</c:v>
                </c:pt>
                <c:pt idx="5">
                  <c:v>10080</c:v>
                </c:pt>
                <c:pt idx="6">
                  <c:v>61152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7-4F49-8DC7-1697B64E5B79}"/>
            </c:ext>
          </c:extLst>
        </c:ser>
        <c:ser>
          <c:idx val="3"/>
          <c:order val="3"/>
          <c:tx>
            <c:strRef>
              <c:f>'Analysis Sheet'!$W$5</c:f>
              <c:strCache>
                <c:ptCount val="1"/>
                <c:pt idx="0">
                  <c:v>Sum of Commission Baking Supplies(RM)</c:v>
                </c:pt>
              </c:strCache>
            </c:strRef>
          </c:tx>
          <c:spPr>
            <a:ln w="28575" cap="rnd">
              <a:solidFill>
                <a:srgbClr val="BF8F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'Analysis Sheet'!$R$6:$S$17</c:f>
              <c:multiLvlStrCache>
                <c:ptCount val="7"/>
                <c:lvl>
                  <c:pt idx="0">
                    <c:v>Gabriella Anne</c:v>
                  </c:pt>
                  <c:pt idx="1">
                    <c:v>Karina Yoo</c:v>
                  </c:pt>
                  <c:pt idx="2">
                    <c:v>John Doe</c:v>
                  </c:pt>
                  <c:pt idx="3">
                    <c:v>Christopher Lee</c:v>
                  </c:pt>
                  <c:pt idx="4">
                    <c:v>Jake Orlando</c:v>
                  </c:pt>
                  <c:pt idx="5">
                    <c:v>Jane Smith</c:v>
                  </c:pt>
                  <c:pt idx="6">
                    <c:v>(blank)</c:v>
                  </c:pt>
                </c:lvl>
                <c:lvl>
                  <c:pt idx="0">
                    <c:v>Baker</c:v>
                  </c:pt>
                  <c:pt idx="2">
                    <c:v>Manager</c:v>
                  </c:pt>
                  <c:pt idx="3">
                    <c:v>Promoter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'Analysis Sheet'!$W$6:$W$17</c:f>
              <c:numCache>
                <c:formatCode>[$RM-4409]#,##0.00</c:formatCode>
                <c:ptCount val="7"/>
                <c:pt idx="0">
                  <c:v>4452</c:v>
                </c:pt>
                <c:pt idx="1">
                  <c:v>1848</c:v>
                </c:pt>
                <c:pt idx="2">
                  <c:v>14560</c:v>
                </c:pt>
                <c:pt idx="3">
                  <c:v>4788</c:v>
                </c:pt>
                <c:pt idx="4">
                  <c:v>8400</c:v>
                </c:pt>
                <c:pt idx="5">
                  <c:v>6720</c:v>
                </c:pt>
                <c:pt idx="6">
                  <c:v>40768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97-4F49-8DC7-1697B64E5B79}"/>
            </c:ext>
          </c:extLst>
        </c:ser>
        <c:ser>
          <c:idx val="4"/>
          <c:order val="4"/>
          <c:tx>
            <c:strRef>
              <c:f>'Analysis Sheet'!$X$5</c:f>
              <c:strCache>
                <c:ptCount val="1"/>
                <c:pt idx="0">
                  <c:v>Sum of Bonus Commission(RM)</c:v>
                </c:pt>
              </c:strCache>
            </c:strRef>
          </c:tx>
          <c:spPr>
            <a:ln w="28575" cap="rnd">
              <a:solidFill>
                <a:srgbClr val="833C0C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'Analysis Sheet'!$R$6:$S$17</c:f>
              <c:multiLvlStrCache>
                <c:ptCount val="7"/>
                <c:lvl>
                  <c:pt idx="0">
                    <c:v>Gabriella Anne</c:v>
                  </c:pt>
                  <c:pt idx="1">
                    <c:v>Karina Yoo</c:v>
                  </c:pt>
                  <c:pt idx="2">
                    <c:v>John Doe</c:v>
                  </c:pt>
                  <c:pt idx="3">
                    <c:v>Christopher Lee</c:v>
                  </c:pt>
                  <c:pt idx="4">
                    <c:v>Jake Orlando</c:v>
                  </c:pt>
                  <c:pt idx="5">
                    <c:v>Jane Smith</c:v>
                  </c:pt>
                  <c:pt idx="6">
                    <c:v>(blank)</c:v>
                  </c:pt>
                </c:lvl>
                <c:lvl>
                  <c:pt idx="0">
                    <c:v>Baker</c:v>
                  </c:pt>
                  <c:pt idx="2">
                    <c:v>Manager</c:v>
                  </c:pt>
                  <c:pt idx="3">
                    <c:v>Promoter</c:v>
                  </c:pt>
                  <c:pt idx="6">
                    <c:v>(blank)</c:v>
                  </c:pt>
                </c:lvl>
              </c:multiLvlStrCache>
            </c:multiLvlStrRef>
          </c:cat>
          <c:val>
            <c:numRef>
              <c:f>'Analysis Sheet'!$X$6:$X$17</c:f>
              <c:numCache>
                <c:formatCode>[$RM-4409]#,##0.00</c:formatCode>
                <c:ptCount val="7"/>
                <c:pt idx="0">
                  <c:v>5565</c:v>
                </c:pt>
                <c:pt idx="1">
                  <c:v>2310</c:v>
                </c:pt>
                <c:pt idx="2">
                  <c:v>18200</c:v>
                </c:pt>
                <c:pt idx="3">
                  <c:v>5985</c:v>
                </c:pt>
                <c:pt idx="4">
                  <c:v>10500</c:v>
                </c:pt>
                <c:pt idx="5">
                  <c:v>8400</c:v>
                </c:pt>
                <c:pt idx="6">
                  <c:v>50960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397-4F49-8DC7-1697B64E5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423335"/>
        <c:axId val="298547960"/>
      </c:lineChart>
      <c:catAx>
        <c:axId val="560423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98547960"/>
        <c:crosses val="autoZero"/>
        <c:auto val="1"/>
        <c:lblAlgn val="ctr"/>
        <c:lblOffset val="100"/>
        <c:noMultiLvlLbl val="0"/>
      </c:catAx>
      <c:valAx>
        <c:axId val="29854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M-4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60423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[Manreen and Nesya Spreadsheet FINAL.xlsx]Analysis Sheet!PivotTable2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Sheet'!$H$5</c:f>
              <c:strCache>
                <c:ptCount val="1"/>
                <c:pt idx="0">
                  <c:v>Sum of ITEMS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'Analysis Sheet'!$F$6:$G$17</c:f>
              <c:multiLvlStrCache>
                <c:ptCount val="8"/>
                <c:lvl>
                  <c:pt idx="0">
                    <c:v>Pastry</c:v>
                  </c:pt>
                  <c:pt idx="1">
                    <c:v>Cupcake</c:v>
                  </c:pt>
                  <c:pt idx="2">
                    <c:v>Bread</c:v>
                  </c:pt>
                  <c:pt idx="3">
                    <c:v>Cookie</c:v>
                  </c:pt>
                  <c:pt idx="4">
                    <c:v>Cake</c:v>
                  </c:pt>
                  <c:pt idx="5">
                    <c:v>Pudding</c:v>
                  </c:pt>
                  <c:pt idx="6">
                    <c:v>Baking supplies</c:v>
                  </c:pt>
                  <c:pt idx="7">
                    <c:v>Utensils</c:v>
                  </c:pt>
                </c:lvl>
                <c:lvl>
                  <c:pt idx="0">
                    <c:v>-</c:v>
                  </c:pt>
                  <c:pt idx="6">
                    <c:v>Mondelez International Goods</c:v>
                  </c:pt>
                  <c:pt idx="7">
                    <c:v>Silver Chef</c:v>
                  </c:pt>
                </c:lvl>
              </c:multiLvlStrCache>
            </c:multiLvlStrRef>
          </c:cat>
          <c:val>
            <c:numRef>
              <c:f>'Analysis Sheet'!$H$6:$H$17</c:f>
              <c:numCache>
                <c:formatCode>[$RM-4409]#,##0.00</c:formatCode>
                <c:ptCount val="8"/>
                <c:pt idx="0">
                  <c:v>8000</c:v>
                </c:pt>
                <c:pt idx="1">
                  <c:v>7500</c:v>
                </c:pt>
                <c:pt idx="2">
                  <c:v>6600</c:v>
                </c:pt>
                <c:pt idx="3">
                  <c:v>5300</c:v>
                </c:pt>
                <c:pt idx="4">
                  <c:v>4000</c:v>
                </c:pt>
                <c:pt idx="5">
                  <c:v>3100</c:v>
                </c:pt>
                <c:pt idx="6">
                  <c:v>8500</c:v>
                </c:pt>
                <c:pt idx="7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DD-4A38-93CA-1F17DF0DFAB3}"/>
            </c:ext>
          </c:extLst>
        </c:ser>
        <c:ser>
          <c:idx val="1"/>
          <c:order val="1"/>
          <c:tx>
            <c:strRef>
              <c:f>'Analysis Sheet'!$I$5</c:f>
              <c:strCache>
                <c:ptCount val="1"/>
                <c:pt idx="0">
                  <c:v>Sum of REVENUE (RM)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'Analysis Sheet'!$F$6:$G$17</c:f>
              <c:multiLvlStrCache>
                <c:ptCount val="8"/>
                <c:lvl>
                  <c:pt idx="0">
                    <c:v>Pastry</c:v>
                  </c:pt>
                  <c:pt idx="1">
                    <c:v>Cupcake</c:v>
                  </c:pt>
                  <c:pt idx="2">
                    <c:v>Bread</c:v>
                  </c:pt>
                  <c:pt idx="3">
                    <c:v>Cookie</c:v>
                  </c:pt>
                  <c:pt idx="4">
                    <c:v>Cake</c:v>
                  </c:pt>
                  <c:pt idx="5">
                    <c:v>Pudding</c:v>
                  </c:pt>
                  <c:pt idx="6">
                    <c:v>Baking supplies</c:v>
                  </c:pt>
                  <c:pt idx="7">
                    <c:v>Utensils</c:v>
                  </c:pt>
                </c:lvl>
                <c:lvl>
                  <c:pt idx="0">
                    <c:v>-</c:v>
                  </c:pt>
                  <c:pt idx="6">
                    <c:v>Mondelez International Goods</c:v>
                  </c:pt>
                  <c:pt idx="7">
                    <c:v>Silver Chef</c:v>
                  </c:pt>
                </c:lvl>
              </c:multiLvlStrCache>
            </c:multiLvlStrRef>
          </c:cat>
          <c:val>
            <c:numRef>
              <c:f>'Analysis Sheet'!$I$6:$I$17</c:f>
              <c:numCache>
                <c:formatCode>[$RM-4409]#,##0.00</c:formatCode>
                <c:ptCount val="8"/>
                <c:pt idx="0">
                  <c:v>168000</c:v>
                </c:pt>
                <c:pt idx="1">
                  <c:v>210000</c:v>
                </c:pt>
                <c:pt idx="2">
                  <c:v>46200</c:v>
                </c:pt>
                <c:pt idx="3">
                  <c:v>111300</c:v>
                </c:pt>
                <c:pt idx="4">
                  <c:v>364000</c:v>
                </c:pt>
                <c:pt idx="5">
                  <c:v>86800</c:v>
                </c:pt>
                <c:pt idx="6">
                  <c:v>35700</c:v>
                </c:pt>
                <c:pt idx="7">
                  <c:v>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DD-4A38-93CA-1F17DF0D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403464"/>
        <c:axId val="1917259416"/>
      </c:barChart>
      <c:catAx>
        <c:axId val="45540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59416"/>
        <c:crosses val="autoZero"/>
        <c:auto val="1"/>
        <c:lblAlgn val="ctr"/>
        <c:lblOffset val="100"/>
        <c:noMultiLvlLbl val="0"/>
      </c:catAx>
      <c:valAx>
        <c:axId val="191725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M-4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03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4</xdr:col>
      <xdr:colOff>0</xdr:colOff>
      <xdr:row>50</xdr:row>
      <xdr:rowOff>9525</xdr:rowOff>
    </xdr:to>
    <xdr:graphicFrame macro="">
      <xdr:nvGraphicFramePr>
        <xdr:cNvPr id="6" name="Chart 5" descr="Chart type: Clustered Column. 'PRODUCT NOT SOLD' and 'PRODUCT SOLD' by 'CATEGORY' and 'PRODUCT NAME'&#10;&#10;Description automatically generated">
          <a:extLst>
            <a:ext uri="{FF2B5EF4-FFF2-40B4-BE49-F238E27FC236}">
              <a16:creationId xmlns:a16="http://schemas.microsoft.com/office/drawing/2014/main" id="{56A8C2BC-F07B-2B3B-F807-6B4133CAAE82}"/>
            </a:ext>
            <a:ext uri="{147F2762-F138-4A5C-976F-8EAC2B608ADB}">
              <a16:predDERef xmlns:a16="http://schemas.microsoft.com/office/drawing/2014/main" pred="{06AB7320-061F-3719-0195-0D95044EF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1165860</xdr:colOff>
      <xdr:row>24</xdr:row>
      <xdr:rowOff>9525</xdr:rowOff>
    </xdr:from>
    <xdr:to>
      <xdr:col>15</xdr:col>
      <xdr:colOff>358140</xdr:colOff>
      <xdr:row>50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ED73D5-4041-1002-564D-C063B6987063}"/>
            </a:ext>
            <a:ext uri="{147F2762-F138-4A5C-976F-8EAC2B608ADB}">
              <a16:predDERef xmlns:a16="http://schemas.microsoft.com/office/drawing/2014/main" pred="{56A8C2BC-F07B-2B3B-F807-6B4133CAA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1343025</xdr:colOff>
      <xdr:row>23</xdr:row>
      <xdr:rowOff>180975</xdr:rowOff>
    </xdr:from>
    <xdr:to>
      <xdr:col>27</xdr:col>
      <xdr:colOff>0</xdr:colOff>
      <xdr:row>67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8A095C-82BC-9CE6-D7E8-E16A50280328}"/>
            </a:ext>
            <a:ext uri="{147F2762-F138-4A5C-976F-8EAC2B608ADB}">
              <a16:predDERef xmlns:a16="http://schemas.microsoft.com/office/drawing/2014/main" pred="{6DED73D5-4041-1002-564D-C063B6987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523875</xdr:colOff>
      <xdr:row>3</xdr:row>
      <xdr:rowOff>133350</xdr:rowOff>
    </xdr:from>
    <xdr:to>
      <xdr:col>44</xdr:col>
      <xdr:colOff>400050</xdr:colOff>
      <xdr:row>22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95B66F-2CCA-416A-6137-892E4E7D824B}"/>
            </a:ext>
            <a:ext uri="{147F2762-F138-4A5C-976F-8EAC2B608ADB}">
              <a16:predDERef xmlns:a16="http://schemas.microsoft.com/office/drawing/2014/main" pred="{E98A095C-82BC-9CE6-D7E8-E16A50280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nreen\Downloads\Manreen%20and%20Nesya%20Spreadsheet%20FINA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879.910621180556" createdVersion="8" refreshedVersion="8" minRefreshableVersion="3" recordCount="8" xr:uid="{F5813EAF-64CB-439B-9BC0-C348424F5591}">
  <cacheSource type="worksheet">
    <worksheetSource ref="C6:K14" sheet="Transformed Data (2)" r:id="rId2"/>
  </cacheSource>
  <cacheFields count="9">
    <cacheField name="PRODUCT" numFmtId="0">
      <sharedItems count="8">
        <s v="Cake"/>
        <s v="Bread"/>
        <s v="Pudding"/>
        <s v="Cookie"/>
        <s v="Pastry"/>
        <s v="Cupcake"/>
        <s v="Utensils"/>
        <s v="Baking supplies"/>
      </sharedItems>
    </cacheField>
    <cacheField name="BRAND NAME" numFmtId="0">
      <sharedItems count="3">
        <s v="-"/>
        <s v="Silver Chef"/>
        <s v="Mondelez International Goods"/>
      </sharedItems>
    </cacheField>
    <cacheField name="MODEL NAME" numFmtId="0">
      <sharedItems count="8">
        <s v="HC-6969ND"/>
        <s v="AC-2323DD"/>
        <s v="FC-3434ZO"/>
        <s v="PE-5656JAZ"/>
        <s v="FP-7272YSL"/>
        <s v="LC-8181MK"/>
        <s v="UT-7878MS"/>
        <s v="BS-1212TW"/>
      </sharedItems>
    </cacheField>
    <cacheField name="PRODUCT ID" numFmtId="0">
      <sharedItems count="8">
        <s v="011 6969"/>
        <s v="022 2323"/>
        <s v="033 3434"/>
        <s v="044 5656"/>
        <s v="055 7272"/>
        <s v="066 8181"/>
        <s v="077 1234"/>
        <s v="088 5678"/>
      </sharedItems>
    </cacheField>
    <cacheField name="SELLING PRICE (RM)" numFmtId="0">
      <sharedItems containsSemiMixedTypes="0" containsString="0" containsNumber="1" minValue="4.2" maxValue="91"/>
    </cacheField>
    <cacheField name="ITEMS SOLD" numFmtId="0">
      <sharedItems containsSemiMixedTypes="0" containsString="0" containsNumber="1" containsInteger="1" minValue="3100" maxValue="8500"/>
    </cacheField>
    <cacheField name="SALES AGENT NAME" numFmtId="0">
      <sharedItems count="8">
        <s v="Naruro"/>
        <s v="Deli&amp;Dele"/>
        <s v="Zoro"/>
        <s v="Jazzy"/>
        <s v="Yves Saint Laurent"/>
        <s v="Michael Kors"/>
        <s v="Moonstar"/>
        <s v="Twilight"/>
      </sharedItems>
    </cacheField>
    <cacheField name="REVENUE (RM)" numFmtId="166">
      <sharedItems containsSemiMixedTypes="0" containsString="0" containsNumber="1" containsInteger="1" minValue="35700" maxValue="364000"/>
    </cacheField>
    <cacheField name="TOTAL REVENUE(RM) " numFmtId="166">
      <sharedItems containsString="0" containsBlank="1" containsNumber="1" containsInteger="1" minValue="1106000" maxValue="110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882.737376736113" createdVersion="8" refreshedVersion="8" minRefreshableVersion="3" recordCount="8" xr:uid="{4243683E-CD7C-45D5-A43D-762558D841B0}">
  <cacheSource type="worksheet">
    <worksheetSource ref="AB75:AL83" sheet="Analysis Sheet"/>
  </cacheSource>
  <cacheFields count="11">
    <cacheField name="Employee ID" numFmtId="0">
      <sharedItems containsMixedTypes="1" containsNumber="1" containsInteger="1" minValue="28329" maxValue="48391" count="8">
        <n v="39452"/>
        <n v="28329"/>
        <n v="31847"/>
        <n v="48391"/>
        <n v="29482"/>
        <n v="35828"/>
        <s v="TOTAL (RM)"/>
        <s v="AVERAGE FOR SALES REVENUE (RM)"/>
      </sharedItems>
    </cacheField>
    <cacheField name="Name" numFmtId="0">
      <sharedItems containsBlank="1" count="7">
        <s v="John Doe"/>
        <s v="Karina Yoo"/>
        <s v="Gabriella Anne"/>
        <s v="Christopher Lee"/>
        <s v="Jane Smith"/>
        <s v="Jake Orlando"/>
        <m/>
      </sharedItems>
    </cacheField>
    <cacheField name="Position" numFmtId="0">
      <sharedItems containsBlank="1" count="4">
        <s v="Manager"/>
        <s v="Baker"/>
        <s v="Promoter"/>
        <m/>
      </sharedItems>
    </cacheField>
    <cacheField name="Contact Number" numFmtId="0">
      <sharedItems containsBlank="1"/>
    </cacheField>
    <cacheField name="Age" numFmtId="0">
      <sharedItems containsString="0" containsBlank="1" containsNumber="1" containsInteger="1" minValue="22" maxValue="45"/>
    </cacheField>
    <cacheField name="Address" numFmtId="0">
      <sharedItems containsBlank="1"/>
    </cacheField>
    <cacheField name="Salary (RM)" numFmtId="0">
      <sharedItems containsSemiMixedTypes="0" containsString="0" containsNumber="1" containsInteger="1" minValue="1800" maxValue="237456"/>
    </cacheField>
    <cacheField name="Sales Revenue (RM)" numFmtId="0">
      <sharedItems containsString="0" containsBlank="1" containsNumber="1" containsInteger="1" minValue="46200" maxValue="1019200"/>
    </cacheField>
    <cacheField name="Commission Utensils (RM)" numFmtId="0">
      <sharedItems containsString="0" containsBlank="1" containsNumber="1" containsInteger="1" minValue="2772" maxValue="61152"/>
    </cacheField>
    <cacheField name="Commission Baking Supplies(RM)" numFmtId="0">
      <sharedItems containsString="0" containsBlank="1" containsNumber="1" containsInteger="1" minValue="1848" maxValue="40768"/>
    </cacheField>
    <cacheField name="Bonus Commission(RM)" numFmtId="0">
      <sharedItems containsString="0" containsBlank="1" containsNumber="1" containsInteger="1" minValue="2310" maxValue="509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888.974590740741" createdVersion="8" refreshedVersion="8" minRefreshableVersion="3" recordCount="8" xr:uid="{A9FADEF6-95C5-4E30-B34B-0E0B6980FEEC}">
  <cacheSource type="worksheet">
    <worksheetSource ref="A5:H13" sheet="Inventory Sheet"/>
  </cacheSource>
  <cacheFields count="8">
    <cacheField name="CATEGORY" numFmtId="0">
      <sharedItems count="8">
        <s v="Cake"/>
        <s v="Bread"/>
        <s v="Pudding"/>
        <s v="Cookie"/>
        <s v="Pastry"/>
        <s v="Cupcake"/>
        <s v="Utensils"/>
        <s v="Baking supplies"/>
      </sharedItems>
    </cacheField>
    <cacheField name="PRODUCT NAME" numFmtId="0">
      <sharedItems count="8">
        <s v=".Buttercake_x000a_.Chocolate brulee_x000a_.Macademia_x000a_.Red velvet_x000a_.Tiramisu"/>
        <s v=".Baguetta_x000a_.Brioche_x000a_.Challah_x000a_.Focaccia_x000a_.Soft rolls"/>
        <s v=".Chocolate pudding_x000a_.Apple tart_x000a_.Fruit pudding_x000a_.Almond pudding"/>
        <s v=".Cookies&amp;cream cookies_x000a_.Jawa chip cookies_x000a_.Lemon cookies_x000a_.Macademia cookies"/>
        <s v=".Chocolate croissant_x000a_.Chocolate eclair_x000a_.Scone strawberry jam_x000a_.Vanilla donut"/>
        <s v=".Dark chocolate_x000a_.Vanilla_x000a_.Strawberry_x000a_.Mocha"/>
        <s v=".Cutlery_x000a_.Measuring spoons _x000a_and cups_x000a_.Spatula_x000a_.Baking trays"/>
        <s v=".Flour_x000a_.Leaveners_x000a_.Sugar_x000a_.Dairy"/>
      </sharedItems>
    </cacheField>
    <cacheField name="PRODUCT ID" numFmtId="0">
      <sharedItems count="8">
        <s v="011 9191"/>
        <s v="033 3434 "/>
        <s v="055 7272"/>
        <s v="066 8181"/>
        <s v="044 5656 "/>
        <s v="022 2323 "/>
        <s v="077 1234"/>
        <s v="088 5678"/>
      </sharedItems>
    </cacheField>
    <cacheField name="PRODUCT DESCRIPTION" numFmtId="0">
      <sharedItems count="8">
        <s v=".Creamy and flavourful_x000a_.Moist_x000a_.1kg_x000a_.Vegetarian_x000a_.Baked for about 27 minutes and 170 degrees"/>
        <s v=".Variety shaped _x000a_.Crunchy crust_x000a_.Soft and elastic crumb texture inside_x000a_.Savoury and fresh_x000a_"/>
        <s v=".Soft,spongy and thick texture_x000a_.Sweet_x000a_.Fruity flavour_x000a_.Includes vitamins and minerals"/>
        <s v=".Round shaped _x000a_.Medium size,8 pieces_x000a_.Crunchy crust_x000a_.Soft and chewy inside_x000a_"/>
        <s v=".Variety shape_x000a_.Medium size_x000a_.Sweet_x000a_.Crunchy crust"/>
        <s v=".Round shaped _x000a_.Regular size,6 pieces_x000a_.Comes in cute fondan designs_x000a_"/>
        <s v=".Use to cut cleanly_x000a_.Use to meassure accurate amount ingredients_x000a_.Use to mix ingredients_x000a_.Use to bake dough in the oven"/>
        <s v=".Ingredients used to bake into something delicious_x000a_.Use to add flavour _x000a_. Improve texture of the dough"/>
      </sharedItems>
    </cacheField>
    <cacheField name="COST PRICE PRODUCT" numFmtId="168">
      <sharedItems count="6">
        <s v="RM65.00"/>
        <s v="RM5.00"/>
        <s v="RM20.00"/>
        <s v="RM15.00"/>
        <s v="RM10.00"/>
        <s v="RM3.00"/>
      </sharedItems>
    </cacheField>
    <cacheField name="SELLING PRICE" numFmtId="168">
      <sharedItems count="6">
        <s v="RM91.00"/>
        <s v="RM7.00"/>
        <s v="RM28.00"/>
        <s v="RM21.00"/>
        <s v="RM14.00"/>
        <s v="RM4.20"/>
      </sharedItems>
    </cacheField>
    <cacheField name="PRODUCT SOLD" numFmtId="0">
      <sharedItems containsSemiMixedTypes="0" containsString="0" containsNumber="1" containsInteger="1" minValue="3100" maxValue="8500"/>
    </cacheField>
    <cacheField name="PRODUCT NOT SOLD" numFmtId="0">
      <sharedItems containsSemiMixedTypes="0" containsString="0" containsNumber="1" containsInteger="1" minValue="1200" maxValue="5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x v="0"/>
    <n v="91"/>
    <n v="4000"/>
    <x v="0"/>
    <n v="364000"/>
    <n v="1106000"/>
  </r>
  <r>
    <x v="1"/>
    <x v="0"/>
    <x v="1"/>
    <x v="1"/>
    <n v="7"/>
    <n v="6600"/>
    <x v="1"/>
    <n v="46200"/>
    <m/>
  </r>
  <r>
    <x v="2"/>
    <x v="0"/>
    <x v="2"/>
    <x v="2"/>
    <n v="28"/>
    <n v="3100"/>
    <x v="2"/>
    <n v="86800"/>
    <m/>
  </r>
  <r>
    <x v="3"/>
    <x v="0"/>
    <x v="3"/>
    <x v="3"/>
    <n v="21"/>
    <n v="5300"/>
    <x v="3"/>
    <n v="111300"/>
    <m/>
  </r>
  <r>
    <x v="4"/>
    <x v="0"/>
    <x v="4"/>
    <x v="4"/>
    <n v="21"/>
    <n v="8000"/>
    <x v="4"/>
    <n v="168000"/>
    <m/>
  </r>
  <r>
    <x v="5"/>
    <x v="0"/>
    <x v="5"/>
    <x v="5"/>
    <n v="28"/>
    <n v="7500"/>
    <x v="5"/>
    <n v="210000"/>
    <m/>
  </r>
  <r>
    <x v="6"/>
    <x v="1"/>
    <x v="6"/>
    <x v="6"/>
    <n v="14"/>
    <n v="6000"/>
    <x v="6"/>
    <n v="84000"/>
    <m/>
  </r>
  <r>
    <x v="7"/>
    <x v="2"/>
    <x v="7"/>
    <x v="7"/>
    <n v="4.2"/>
    <n v="8500"/>
    <x v="7"/>
    <n v="357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s v="(+60)2573981"/>
    <n v="45"/>
    <s v="Marilyn Monroe St. No. 18"/>
    <n v="5800"/>
    <n v="364000"/>
    <n v="21840"/>
    <n v="14560"/>
    <n v="18200"/>
  </r>
  <r>
    <x v="1"/>
    <x v="1"/>
    <x v="1"/>
    <s v="(+60)4823715"/>
    <n v="22"/>
    <s v="Piano Rd. No. 45"/>
    <n v="2000"/>
    <n v="46200"/>
    <n v="2772"/>
    <n v="1848"/>
    <n v="2310"/>
  </r>
  <r>
    <x v="2"/>
    <x v="2"/>
    <x v="1"/>
    <s v="(+60)5728198"/>
    <n v="26"/>
    <s v="Cheesecake St. No. 78"/>
    <n v="2000"/>
    <n v="111300"/>
    <n v="6678"/>
    <n v="4452"/>
    <n v="5565"/>
  </r>
  <r>
    <x v="3"/>
    <x v="3"/>
    <x v="2"/>
    <s v="(+60)2847194"/>
    <n v="30"/>
    <s v="Riverway St. No. 29"/>
    <n v="1800"/>
    <n v="119700"/>
    <n v="7182"/>
    <n v="4788"/>
    <n v="5985"/>
  </r>
  <r>
    <x v="4"/>
    <x v="4"/>
    <x v="2"/>
    <s v="(+60)3829185"/>
    <n v="28"/>
    <s v="Piano Rd. No. 34"/>
    <n v="1800"/>
    <n v="168000"/>
    <n v="10080"/>
    <n v="6720"/>
    <n v="8400"/>
  </r>
  <r>
    <x v="5"/>
    <x v="5"/>
    <x v="2"/>
    <s v="(+60)9275184"/>
    <n v="33"/>
    <s v="Lily St. No. 67"/>
    <n v="1800"/>
    <n v="210000"/>
    <n v="12600"/>
    <n v="8400"/>
    <n v="10500"/>
  </r>
  <r>
    <x v="6"/>
    <x v="6"/>
    <x v="3"/>
    <m/>
    <m/>
    <m/>
    <n v="15200"/>
    <n v="1019200"/>
    <n v="61152"/>
    <n v="40768"/>
    <n v="50960"/>
  </r>
  <r>
    <x v="7"/>
    <x v="6"/>
    <x v="3"/>
    <m/>
    <m/>
    <m/>
    <n v="237456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x v="0"/>
    <x v="0"/>
    <x v="0"/>
    <n v="4000"/>
    <n v="1200"/>
  </r>
  <r>
    <x v="1"/>
    <x v="1"/>
    <x v="1"/>
    <x v="1"/>
    <x v="1"/>
    <x v="1"/>
    <n v="6600"/>
    <n v="3200"/>
  </r>
  <r>
    <x v="2"/>
    <x v="2"/>
    <x v="2"/>
    <x v="2"/>
    <x v="2"/>
    <x v="2"/>
    <n v="3100"/>
    <n v="1600"/>
  </r>
  <r>
    <x v="3"/>
    <x v="3"/>
    <x v="3"/>
    <x v="3"/>
    <x v="3"/>
    <x v="3"/>
    <n v="5300"/>
    <n v="1500"/>
  </r>
  <r>
    <x v="4"/>
    <x v="4"/>
    <x v="4"/>
    <x v="4"/>
    <x v="3"/>
    <x v="3"/>
    <n v="8000"/>
    <n v="5800"/>
  </r>
  <r>
    <x v="5"/>
    <x v="5"/>
    <x v="5"/>
    <x v="5"/>
    <x v="2"/>
    <x v="2"/>
    <n v="7500"/>
    <n v="2500"/>
  </r>
  <r>
    <x v="6"/>
    <x v="6"/>
    <x v="6"/>
    <x v="6"/>
    <x v="4"/>
    <x v="4"/>
    <n v="6000"/>
    <n v="3500"/>
  </r>
  <r>
    <x v="7"/>
    <x v="7"/>
    <x v="7"/>
    <x v="7"/>
    <x v="5"/>
    <x v="5"/>
    <n v="850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CCE98-6516-41E3-B1E5-EB11AA5B13F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R5:X17" firstHeaderRow="0" firstDataRow="1" firstDataCol="2"/>
  <pivotFields count="11">
    <pivotField compact="0" outline="0" showAll="0">
      <items count="9">
        <item x="1"/>
        <item x="4"/>
        <item x="2"/>
        <item x="5"/>
        <item x="0"/>
        <item x="3"/>
        <item x="7"/>
        <item x="6"/>
        <item t="default"/>
      </items>
    </pivotField>
    <pivotField axis="axisRow" compact="0" outline="0" showAll="0">
      <items count="8">
        <item x="3"/>
        <item x="2"/>
        <item x="5"/>
        <item x="4"/>
        <item x="0"/>
        <item x="1"/>
        <item x="6"/>
        <item t="default"/>
      </items>
    </pivotField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2">
    <field x="2"/>
    <field x="1"/>
  </rowFields>
  <rowItems count="12">
    <i>
      <x/>
      <x v="1"/>
    </i>
    <i r="1">
      <x v="5"/>
    </i>
    <i t="default">
      <x/>
    </i>
    <i>
      <x v="1"/>
      <x v="4"/>
    </i>
    <i t="default">
      <x v="1"/>
    </i>
    <i>
      <x v="2"/>
      <x/>
    </i>
    <i r="1">
      <x v="2"/>
    </i>
    <i r="1">
      <x v="3"/>
    </i>
    <i t="default">
      <x v="2"/>
    </i>
    <i>
      <x v="3"/>
      <x v="6"/>
    </i>
    <i t="default"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ary (RM)" fld="6" baseField="0" baseItem="0" numFmtId="167"/>
    <dataField name="Sum of Sales Revenue (RM)" fld="7" baseField="0" baseItem="0" numFmtId="167"/>
    <dataField name="Sum of Commission Utensils (RM)" fld="8" baseField="0" baseItem="0" numFmtId="167"/>
    <dataField name="Sum of Commission Baking Supplies(RM)" fld="9" baseField="0" baseItem="0" numFmtId="167"/>
    <dataField name="Sum of Bonus Commission(RM)" fld="10" baseField="0" baseItem="0" numFmtId="167"/>
  </dataFields>
  <formats count="65">
    <format dxfId="64">
      <pivotArea field="2" type="button" dataOnly="0" labelOnly="1" outline="0" axis="axisRow" fieldPosition="0"/>
    </format>
    <format dxfId="63">
      <pivotArea field="1" type="button" dataOnly="0" labelOnly="1" outline="0" axis="axisRow" fieldPosition="1"/>
    </format>
    <format dxfId="6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1">
      <pivotArea grandRow="1" outline="0" collapsedLevelsAreSubtotals="1" fieldPosition="0"/>
    </format>
    <format dxfId="60">
      <pivotArea dataOnly="0" labelOnly="1" grandRow="1" outline="0" fieldPosition="0"/>
    </format>
    <format dxfId="59">
      <pivotArea outline="0" fieldPosition="0">
        <references count="1">
          <reference field="2" count="0" selected="0" defaultSubtotal="1"/>
        </references>
      </pivotArea>
    </format>
    <format dxfId="58">
      <pivotArea dataOnly="0" labelOnly="1" outline="0" fieldPosition="0">
        <references count="1">
          <reference field="2" count="0"/>
        </references>
      </pivotArea>
    </format>
    <format dxfId="57">
      <pivotArea dataOnly="0" labelOnly="1" outline="0" fieldPosition="0">
        <references count="1">
          <reference field="2" count="0" defaultSubtotal="1"/>
        </references>
      </pivotArea>
    </format>
    <format dxfId="56">
      <pivotArea dataOnly="0" labelOnly="1" outline="0" fieldPosition="0">
        <references count="2">
          <reference field="1" count="2">
            <x v="1"/>
            <x v="5"/>
          </reference>
          <reference field="2" count="1" selected="0">
            <x v="0"/>
          </reference>
        </references>
      </pivotArea>
    </format>
    <format dxfId="55">
      <pivotArea dataOnly="0" labelOnly="1" outline="0" fieldPosition="0">
        <references count="2">
          <reference field="1" count="1">
            <x v="4"/>
          </reference>
          <reference field="2" count="1" selected="0">
            <x v="1"/>
          </reference>
        </references>
      </pivotArea>
    </format>
    <format dxfId="54">
      <pivotArea dataOnly="0" labelOnly="1" outline="0" fieldPosition="0">
        <references count="2">
          <reference field="1" count="3">
            <x v="0"/>
            <x v="2"/>
            <x v="3"/>
          </reference>
          <reference field="2" count="1" selected="0">
            <x v="2"/>
          </reference>
        </references>
      </pivotArea>
    </format>
    <format dxfId="53">
      <pivotArea dataOnly="0" labelOnly="1" outline="0" fieldPosition="0">
        <references count="2">
          <reference field="1" count="1">
            <x v="6"/>
          </reference>
          <reference field="2" count="1" selected="0">
            <x v="3"/>
          </reference>
        </references>
      </pivotArea>
    </format>
    <format dxfId="52">
      <pivotArea outline="0" fieldPosition="0">
        <references count="2">
          <reference field="1" count="1" selected="0">
            <x v="1"/>
          </reference>
          <reference field="2" count="1" selected="0">
            <x v="0"/>
          </reference>
        </references>
      </pivotArea>
    </format>
    <format dxfId="51">
      <pivotArea outline="0" fieldPosition="0">
        <references count="2">
          <reference field="1" count="1" selected="0">
            <x v="5"/>
          </reference>
          <reference field="2" count="1" selected="0">
            <x v="0"/>
          </reference>
        </references>
      </pivotArea>
    </format>
    <format dxfId="50">
      <pivotArea outline="0" fieldPosition="0">
        <references count="1">
          <reference field="2" count="1" selected="0" defaultSubtotal="1">
            <x v="0"/>
          </reference>
        </references>
      </pivotArea>
    </format>
    <format dxfId="49">
      <pivotArea dataOnly="0" labelOnly="1" outline="0" fieldPosition="0">
        <references count="1">
          <reference field="2" count="1" defaultSubtotal="1">
            <x v="0"/>
          </reference>
        </references>
      </pivotArea>
    </format>
    <format dxfId="48">
      <pivotArea outline="0" fieldPosition="0">
        <references count="2">
          <reference field="1" count="1" selected="0">
            <x v="4"/>
          </reference>
          <reference field="2" count="1" selected="0">
            <x v="1"/>
          </reference>
        </references>
      </pivotArea>
    </format>
    <format dxfId="47">
      <pivotArea outline="0" fieldPosition="0">
        <references count="1">
          <reference field="2" count="1" selected="0" defaultSubtotal="1">
            <x v="1"/>
          </reference>
        </references>
      </pivotArea>
    </format>
    <format dxfId="46">
      <pivotArea dataOnly="0" labelOnly="1" outline="0" fieldPosition="0">
        <references count="1">
          <reference field="2" count="1" defaultSubtotal="1">
            <x v="1"/>
          </reference>
        </references>
      </pivotArea>
    </format>
    <format dxfId="45">
      <pivotArea outline="0" fieldPosition="0">
        <references count="1">
          <reference field="2" count="1" selected="0" defaultSubtotal="1">
            <x v="2"/>
          </reference>
        </references>
      </pivotArea>
    </format>
    <format dxfId="44">
      <pivotArea dataOnly="0" labelOnly="1" outline="0" fieldPosition="0">
        <references count="1">
          <reference field="2" count="1" defaultSubtotal="1">
            <x v="2"/>
          </reference>
        </references>
      </pivotArea>
    </format>
    <format dxfId="43">
      <pivotArea outline="0" fieldPosition="0">
        <references count="2">
          <reference field="1" count="1" selected="0">
            <x v="6"/>
          </reference>
          <reference field="2" count="1" selected="0">
            <x v="3"/>
          </reference>
        </references>
      </pivotArea>
    </format>
    <format dxfId="42">
      <pivotArea grandRow="1" outline="0" collapsedLevelsAreSubtotals="1" fieldPosition="0"/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9">
      <pivotArea field="1" type="button" dataOnly="0" labelOnly="1" outline="0" axis="axisRow" fieldPosition="1"/>
    </format>
    <format dxfId="38">
      <pivotArea dataOnly="0" labelOnly="1" outline="0" offset="IV256" fieldPosition="0">
        <references count="1">
          <reference field="2" count="1" defaultSubtotal="1">
            <x v="0"/>
          </reference>
        </references>
      </pivotArea>
    </format>
    <format dxfId="37">
      <pivotArea dataOnly="0" labelOnly="1" outline="0" offset="IV256" fieldPosition="0">
        <references count="1">
          <reference field="2" count="1" defaultSubtotal="1">
            <x v="1"/>
          </reference>
        </references>
      </pivotArea>
    </format>
    <format dxfId="36">
      <pivotArea dataOnly="0" labelOnly="1" outline="0" offset="IV256" fieldPosition="0">
        <references count="1">
          <reference field="2" count="1" defaultSubtotal="1">
            <x v="2"/>
          </reference>
        </references>
      </pivotArea>
    </format>
    <format dxfId="35">
      <pivotArea dataOnly="0" labelOnly="1" outline="0" offset="IV256" fieldPosition="0">
        <references count="1">
          <reference field="2" count="1" defaultSubtotal="1">
            <x v="3"/>
          </reference>
        </references>
      </pivotArea>
    </format>
    <format dxfId="34">
      <pivotArea dataOnly="0" labelOnly="1" outline="0" fieldPosition="0">
        <references count="2">
          <reference field="1" count="2">
            <x v="1"/>
            <x v="5"/>
          </reference>
          <reference field="2" count="1" selected="0">
            <x v="0"/>
          </reference>
        </references>
      </pivotArea>
    </format>
    <format dxfId="33">
      <pivotArea dataOnly="0" labelOnly="1" outline="0" fieldPosition="0">
        <references count="2">
          <reference field="1" count="1">
            <x v="4"/>
          </reference>
          <reference field="2" count="1" selected="0">
            <x v="1"/>
          </reference>
        </references>
      </pivotArea>
    </format>
    <format dxfId="32">
      <pivotArea dataOnly="0" labelOnly="1" outline="0" fieldPosition="0">
        <references count="2">
          <reference field="1" count="3">
            <x v="0"/>
            <x v="2"/>
            <x v="3"/>
          </reference>
          <reference field="2" count="1" selected="0">
            <x v="2"/>
          </reference>
        </references>
      </pivotArea>
    </format>
    <format dxfId="31">
      <pivotArea dataOnly="0" labelOnly="1" outline="0" fieldPosition="0">
        <references count="2">
          <reference field="1" count="1">
            <x v="6"/>
          </reference>
          <reference field="2" count="1" selected="0">
            <x v="3"/>
          </reference>
        </references>
      </pivotArea>
    </format>
    <format dxfId="30">
      <pivotArea outline="0" fieldPosition="0">
        <references count="1">
          <reference field="4294967294" count="1" selected="0">
            <x v="0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">
      <pivotArea outline="0" fieldPosition="0">
        <references count="1">
          <reference field="4294967294" count="1" selected="0">
            <x v="1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outline="0" fieldPosition="0">
        <references count="1">
          <reference field="4294967294" count="1" selected="0">
            <x v="2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4">
      <pivotArea outline="0" fieldPosition="0">
        <references count="1">
          <reference field="4294967294" count="1" selected="0">
            <x v="3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2">
      <pivotArea outline="0" fieldPosition="0">
        <references count="2">
          <reference field="1" count="1" selected="0">
            <x v="2"/>
          </reference>
          <reference field="2" count="1" selected="0">
            <x v="2"/>
          </reference>
        </references>
      </pivotArea>
    </format>
    <format dxfId="21">
      <pivotArea dataOnly="0" labelOnly="1" outline="0" fieldPosition="0">
        <references count="2">
          <reference field="1" count="1">
            <x v="2"/>
          </reference>
          <reference field="2" count="1" selected="0">
            <x v="2"/>
          </reference>
        </references>
      </pivotArea>
    </format>
    <format dxfId="20">
      <pivotArea field="2" type="button" dataOnly="0" labelOnly="1" outline="0" axis="axisRow" fieldPosition="0"/>
    </format>
    <format dxfId="19">
      <pivotArea dataOnly="0" labelOnly="1" outline="0" fieldPosition="0">
        <references count="1">
          <reference field="2" count="1">
            <x v="0"/>
          </reference>
        </references>
      </pivotArea>
    </format>
    <format dxfId="18">
      <pivotArea dataOnly="0" labelOnly="1" outline="0" offset="A256" fieldPosition="0">
        <references count="1">
          <reference field="2" count="1" defaultSubtotal="1">
            <x v="0"/>
          </reference>
        </references>
      </pivotArea>
    </format>
    <format dxfId="17">
      <pivotArea dataOnly="0" labelOnly="1" outline="0" fieldPosition="0">
        <references count="1">
          <reference field="2" count="1">
            <x v="1"/>
          </reference>
        </references>
      </pivotArea>
    </format>
    <format dxfId="16">
      <pivotArea dataOnly="0" labelOnly="1" outline="0" offset="A256" fieldPosition="0">
        <references count="1">
          <reference field="2" count="1" defaultSubtotal="1">
            <x v="1"/>
          </reference>
        </references>
      </pivotArea>
    </format>
    <format dxfId="15">
      <pivotArea dataOnly="0" labelOnly="1" outline="0" fieldPosition="0">
        <references count="1">
          <reference field="2" count="1">
            <x v="2"/>
          </reference>
        </references>
      </pivotArea>
    </format>
    <format dxfId="14">
      <pivotArea dataOnly="0" labelOnly="1" outline="0" offset="A256" fieldPosition="0">
        <references count="1">
          <reference field="2" count="1" defaultSubtotal="1">
            <x v="2"/>
          </reference>
        </references>
      </pivotArea>
    </format>
    <format dxfId="13">
      <pivotArea dataOnly="0" labelOnly="1" outline="0" fieldPosition="0">
        <references count="1">
          <reference field="2" count="1">
            <x v="3"/>
          </reference>
        </references>
      </pivotArea>
    </format>
    <format dxfId="12">
      <pivotArea dataOnly="0" labelOnly="1" outline="0" offset="A256" fieldPosition="0">
        <references count="1">
          <reference field="2" count="1" defaultSubtotal="1">
            <x v="3"/>
          </reference>
        </references>
      </pivotArea>
    </format>
    <format dxfId="11">
      <pivotArea dataOnly="0" labelOnly="1" grandRow="1" outline="0" offset="A256" fieldPosition="0"/>
    </format>
    <format dxfId="10">
      <pivotArea outline="0" fieldPosition="0">
        <references count="1">
          <reference field="4294967294" count="1" selected="0">
            <x v="4"/>
          </reference>
        </references>
      </pivotArea>
    </format>
    <format dxfId="9">
      <pivotArea outline="0" fieldPosition="0">
        <references count="1">
          <reference field="4294967294" count="1" selected="0">
            <x v="0"/>
          </reference>
        </references>
      </pivotArea>
    </format>
    <format dxfId="8">
      <pivotArea outline="0" fieldPosition="0">
        <references count="1">
          <reference field="4294967294" count="1" selected="0">
            <x v="1"/>
          </reference>
        </references>
      </pivotArea>
    </format>
    <format dxfId="7">
      <pivotArea outline="0" fieldPosition="0">
        <references count="1">
          <reference field="4294967294" count="1" selected="0">
            <x v="1"/>
          </reference>
        </references>
      </pivotArea>
    </format>
    <format dxfId="6">
      <pivotArea outline="0" fieldPosition="0">
        <references count="1">
          <reference field="4294967294" count="1" selected="0">
            <x v="1"/>
          </reference>
        </references>
      </pivotArea>
    </format>
    <format dxfId="5">
      <pivotArea outline="0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4">
      <pivotArea outline="0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3">
      <pivotArea outline="0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2">
      <pivotArea outline="0" fieldPosition="0">
        <references count="1">
          <reference field="4294967294" count="1" selected="0">
            <x v="0"/>
          </reference>
        </references>
      </pivotArea>
    </format>
    <format dxfId="1">
      <pivotArea outline="0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30B80-A862-4FAA-8DC1-61E517BF430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5:D22" firstHeaderRow="0" firstDataRow="1" firstDataCol="2"/>
  <pivotFields count="8">
    <pivotField axis="axisRow" compact="0" outline="0" showAll="0">
      <items count="9">
        <item x="7"/>
        <item x="1"/>
        <item x="0"/>
        <item x="3"/>
        <item x="5"/>
        <item x="4"/>
        <item x="2"/>
        <item x="6"/>
        <item t="default"/>
      </items>
    </pivotField>
    <pivotField axis="axisRow" compact="0" outline="0" showAll="0">
      <items count="9">
        <item x="1"/>
        <item x="0"/>
        <item x="4"/>
        <item x="2"/>
        <item x="3"/>
        <item x="6"/>
        <item x="5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2">
    <field x="0"/>
    <field x="1"/>
  </rowFields>
  <rowItems count="17">
    <i>
      <x/>
      <x v="7"/>
    </i>
    <i t="default">
      <x/>
    </i>
    <i>
      <x v="1"/>
      <x/>
    </i>
    <i t="default">
      <x v="1"/>
    </i>
    <i>
      <x v="2"/>
      <x v="1"/>
    </i>
    <i t="default">
      <x v="2"/>
    </i>
    <i>
      <x v="3"/>
      <x v="4"/>
    </i>
    <i t="default">
      <x v="3"/>
    </i>
    <i>
      <x v="4"/>
      <x v="6"/>
    </i>
    <i t="default">
      <x v="4"/>
    </i>
    <i>
      <x v="5"/>
      <x v="2"/>
    </i>
    <i t="default">
      <x v="5"/>
    </i>
    <i>
      <x v="6"/>
      <x v="3"/>
    </i>
    <i t="default">
      <x v="6"/>
    </i>
    <i>
      <x v="7"/>
      <x v="5"/>
    </i>
    <i t="default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DUCT SOLD (RM)" fld="6" baseField="0" baseItem="0" numFmtId="167"/>
    <dataField name="Sum of PRODUCT NOT SOLD (RM)" fld="7" baseField="0" baseItem="0" numFmtId="167"/>
  </dataFields>
  <formats count="118">
    <format dxfId="182">
      <pivotArea outline="0" collapsedLevelsAreSubtotals="1" fieldPosition="0"/>
    </format>
    <format dxfId="181">
      <pivotArea outline="0" collapsedLevelsAreSubtotals="1" fieldPosition="0"/>
    </format>
    <format dxfId="180">
      <pivotArea field="0" type="button" dataOnly="0" labelOnly="1" outline="0" axis="axisRow" fieldPosition="0"/>
    </format>
    <format dxfId="179">
      <pivotArea field="1" type="button" dataOnly="0" labelOnly="1" outline="0" axis="axisRow" fieldPosition="1"/>
    </format>
    <format dxfId="1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7">
      <pivotArea grandRow="1" outline="0" collapsedLevelsAreSubtotals="1" fieldPosition="0"/>
    </format>
    <format dxfId="176">
      <pivotArea dataOnly="0" labelOnly="1" grandRow="1" outline="0" fieldPosition="0"/>
    </format>
    <format dxfId="175">
      <pivotArea outline="0" fieldPosition="0">
        <references count="1">
          <reference field="0" count="0" selected="0" defaultSubtotal="1"/>
        </references>
      </pivotArea>
    </format>
    <format dxfId="174">
      <pivotArea dataOnly="0" labelOnly="1" outline="0" fieldPosition="0">
        <references count="1">
          <reference field="0" count="0"/>
        </references>
      </pivotArea>
    </format>
    <format dxfId="173">
      <pivotArea dataOnly="0" labelOnly="1" outline="0" fieldPosition="0">
        <references count="1">
          <reference field="0" count="0" defaultSubtotal="1"/>
        </references>
      </pivotArea>
    </format>
    <format dxfId="172">
      <pivotArea dataOnly="0" labelOnly="1" outline="0" fieldPosition="0">
        <references count="2">
          <reference field="0" count="1" selected="0">
            <x v="0"/>
          </reference>
          <reference field="1" count="1">
            <x v="7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4"/>
          </reference>
          <reference field="1" count="1">
            <x v="6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5"/>
          </reference>
          <reference field="1" count="1">
            <x v="2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6"/>
          </reference>
          <reference field="1" count="1">
            <x v="3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7"/>
          </reference>
          <reference field="1" count="1">
            <x v="5"/>
          </reference>
        </references>
      </pivotArea>
    </format>
    <format dxfId="164">
      <pivotArea outline="0" fieldPosition="0">
        <references count="1">
          <reference field="0" count="0" selected="0" defaultSubtotal="1"/>
        </references>
      </pivotArea>
    </format>
    <format dxfId="163">
      <pivotArea dataOnly="0" labelOnly="1" outline="0" fieldPosition="0">
        <references count="1">
          <reference field="0" count="0"/>
        </references>
      </pivotArea>
    </format>
    <format dxfId="162">
      <pivotArea dataOnly="0" labelOnly="1" outline="0" fieldPosition="0">
        <references count="1">
          <reference field="0" count="0" defaultSubtotal="1"/>
        </references>
      </pivotArea>
    </format>
    <format dxfId="161">
      <pivotArea dataOnly="0" labelOnly="1" outline="0" fieldPosition="0">
        <references count="2">
          <reference field="0" count="1" selected="0">
            <x v="0"/>
          </reference>
          <reference field="1" count="1">
            <x v="7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4"/>
          </reference>
          <reference field="1" count="1">
            <x v="6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5"/>
          </reference>
          <reference field="1" count="1">
            <x v="2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6"/>
          </reference>
          <reference field="1" count="1">
            <x v="3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7"/>
          </reference>
          <reference field="1" count="1">
            <x v="5"/>
          </reference>
        </references>
      </pivotArea>
    </format>
    <format dxfId="153">
      <pivotArea grandRow="1" outline="0" collapsedLevelsAreSubtotals="1" fieldPosition="0"/>
    </format>
    <format dxfId="152">
      <pivotArea dataOnly="0" labelOnly="1" grandRow="1" outline="0" fieldPosition="0"/>
    </format>
    <format dxfId="15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0">
      <pivotArea outline="0" fieldPosition="0">
        <references count="1">
          <reference field="0" count="0" selected="0" defaultSubtotal="1"/>
        </references>
      </pivotArea>
    </format>
    <format dxfId="149">
      <pivotArea outline="0" collapsedLevelsAreSubtotals="1" fieldPosition="0"/>
    </format>
    <format dxfId="148">
      <pivotArea outline="0" collapsedLevelsAreSubtotals="1" fieldPosition="0"/>
    </format>
    <format dxfId="147">
      <pivotArea outline="0" collapsedLevelsAreSubtotals="1" fieldPosition="0"/>
    </format>
    <format dxfId="146">
      <pivotArea outline="0" collapsedLevelsAreSubtotals="1" fieldPosition="0"/>
    </format>
    <format dxfId="145">
      <pivotArea outline="0" collapsedLevelsAreSubtotals="1" fieldPosition="0"/>
    </format>
    <format dxfId="144">
      <pivotArea dataOnly="0" labelOnly="1" outline="0" fieldPosition="0">
        <references count="1">
          <reference field="0" count="2">
            <x v="2"/>
            <x v="3"/>
          </reference>
        </references>
      </pivotArea>
    </format>
    <format dxfId="143">
      <pivotArea dataOnly="0" labelOnly="1" grandRow="1" outline="0" offset="A256" fieldPosition="0"/>
    </format>
    <format dxfId="142">
      <pivotArea outline="0" fieldPosition="0">
        <references count="1">
          <reference field="4294967294" count="1" selected="0">
            <x v="0"/>
          </reference>
        </references>
      </pivotArea>
    </format>
    <format dxfId="1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0">
      <pivotArea outline="0" fieldPosition="0">
        <references count="1">
          <reference field="4294967294" count="1" selected="0">
            <x v="0"/>
          </reference>
        </references>
      </pivotArea>
    </format>
    <format dxfId="139">
      <pivotArea outline="0" fieldPosition="0">
        <references count="1">
          <reference field="4294967294" count="1" selected="0">
            <x v="1"/>
          </reference>
        </references>
      </pivotArea>
    </format>
    <format dxfId="138">
      <pivotArea outline="0" fieldPosition="0">
        <references count="1">
          <reference field="4294967294" count="1" selected="0">
            <x v="1"/>
          </reference>
        </references>
      </pivotArea>
    </format>
    <format dxfId="137">
      <pivotArea outline="0" fieldPosition="0">
        <references count="2">
          <reference field="4294967294" count="1" selected="0">
            <x v="1"/>
          </reference>
          <reference field="0" count="0" selected="0" defaultSubtotal="1"/>
        </references>
      </pivotArea>
    </format>
    <format dxfId="1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4">
      <pivotArea outline="0" fieldPosition="0">
        <references count="2">
          <reference field="0" count="1" selected="0">
            <x v="0"/>
          </reference>
          <reference field="1" count="1" selected="0">
            <x v="7"/>
          </reference>
        </references>
      </pivotArea>
    </format>
    <format dxfId="133">
      <pivotArea dataOnly="0" labelOnly="1" outline="0" fieldPosition="0">
        <references count="1">
          <reference field="0" count="1">
            <x v="0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0"/>
          </reference>
          <reference field="1" count="1">
            <x v="7"/>
          </reference>
        </references>
      </pivotArea>
    </format>
    <format dxfId="131">
      <pivotArea outline="0" fieldPosition="0">
        <references count="2">
          <reference field="0" count="1" selected="0">
            <x v="1"/>
          </reference>
          <reference field="1" count="1" selected="0">
            <x v="0"/>
          </reference>
        </references>
      </pivotArea>
    </format>
    <format dxfId="130">
      <pivotArea dataOnly="0" labelOnly="1" outline="0" fieldPosition="0">
        <references count="1">
          <reference field="0" count="1">
            <x v="1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128">
      <pivotArea outline="0" fieldPosition="0">
        <references count="2">
          <reference field="0" count="1" selected="0">
            <x v="2"/>
          </reference>
          <reference field="1" count="1" selected="0">
            <x v="1"/>
          </reference>
        </references>
      </pivotArea>
    </format>
    <format dxfId="127">
      <pivotArea dataOnly="0" labelOnly="1" outline="0" fieldPosition="0">
        <references count="1">
          <reference field="0" count="1">
            <x v="2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125">
      <pivotArea outline="0" fieldPosition="0">
        <references count="2">
          <reference field="0" count="1" selected="0">
            <x v="3"/>
          </reference>
          <reference field="1" count="1" selected="0">
            <x v="4"/>
          </reference>
        </references>
      </pivotArea>
    </format>
    <format dxfId="124">
      <pivotArea dataOnly="0" labelOnly="1" outline="0" fieldPosition="0">
        <references count="1">
          <reference field="0" count="1">
            <x v="3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122">
      <pivotArea outline="0" fieldPosition="0">
        <references count="2">
          <reference field="0" count="1" selected="0">
            <x v="4"/>
          </reference>
          <reference field="1" count="1" selected="0">
            <x v="6"/>
          </reference>
        </references>
      </pivotArea>
    </format>
    <format dxfId="121">
      <pivotArea dataOnly="0" labelOnly="1" outline="0" fieldPosition="0">
        <references count="1">
          <reference field="0" count="1">
            <x v="4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4"/>
          </reference>
          <reference field="1" count="1">
            <x v="6"/>
          </reference>
        </references>
      </pivotArea>
    </format>
    <format dxfId="119">
      <pivotArea outline="0" fieldPosition="0">
        <references count="2">
          <reference field="0" count="1" selected="0">
            <x v="5"/>
          </reference>
          <reference field="1" count="1" selected="0">
            <x v="2"/>
          </reference>
        </references>
      </pivotArea>
    </format>
    <format dxfId="118">
      <pivotArea dataOnly="0" labelOnly="1" outline="0" fieldPosition="0">
        <references count="1">
          <reference field="0" count="1">
            <x v="5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5"/>
          </reference>
          <reference field="1" count="1">
            <x v="2"/>
          </reference>
        </references>
      </pivotArea>
    </format>
    <format dxfId="116">
      <pivotArea outline="0" fieldPosition="0">
        <references count="2">
          <reference field="0" count="1" selected="0">
            <x v="6"/>
          </reference>
          <reference field="1" count="1" selected="0">
            <x v="3"/>
          </reference>
        </references>
      </pivotArea>
    </format>
    <format dxfId="115">
      <pivotArea dataOnly="0" labelOnly="1" outline="0" fieldPosition="0">
        <references count="1">
          <reference field="0" count="1">
            <x v="6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6"/>
          </reference>
          <reference field="1" count="1">
            <x v="3"/>
          </reference>
        </references>
      </pivotArea>
    </format>
    <format dxfId="113">
      <pivotArea outline="0" fieldPosition="0">
        <references count="2">
          <reference field="0" count="1" selected="0">
            <x v="7"/>
          </reference>
          <reference field="1" count="1" selected="0">
            <x v="5"/>
          </reference>
        </references>
      </pivotArea>
    </format>
    <format dxfId="112">
      <pivotArea dataOnly="0" labelOnly="1" outline="0" fieldPosition="0">
        <references count="1">
          <reference field="0" count="1">
            <x v="7"/>
          </reference>
        </references>
      </pivotArea>
    </format>
    <format dxfId="111">
      <pivotArea dataOnly="0" labelOnly="1" outline="0" fieldPosition="0">
        <references count="2">
          <reference field="0" count="1" selected="0">
            <x v="7"/>
          </reference>
          <reference field="1" count="1">
            <x v="5"/>
          </reference>
        </references>
      </pivotArea>
    </format>
    <format dxfId="110">
      <pivotArea outline="0" fieldPosition="0">
        <references count="1">
          <reference field="0" count="1" selected="0" defaultSubtotal="1">
            <x v="0"/>
          </reference>
        </references>
      </pivotArea>
    </format>
    <format dxfId="109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108">
      <pivotArea outline="0" fieldPosition="0">
        <references count="1">
          <reference field="0" count="1" selected="0" defaultSubtotal="1">
            <x v="1"/>
          </reference>
        </references>
      </pivotArea>
    </format>
    <format dxfId="107">
      <pivotArea dataOnly="0" labelOnly="1" outline="0" fieldPosition="0">
        <references count="1">
          <reference field="0" count="1" defaultSubtotal="1">
            <x v="1"/>
          </reference>
        </references>
      </pivotArea>
    </format>
    <format dxfId="106">
      <pivotArea outline="0" fieldPosition="0">
        <references count="1">
          <reference field="0" count="1" selected="0" defaultSubtotal="1">
            <x v="2"/>
          </reference>
        </references>
      </pivotArea>
    </format>
    <format dxfId="105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104">
      <pivotArea outline="0" fieldPosition="0">
        <references count="1">
          <reference field="0" count="1" selected="0" defaultSubtotal="1">
            <x v="3"/>
          </reference>
        </references>
      </pivotArea>
    </format>
    <format dxfId="103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102">
      <pivotArea outline="0" fieldPosition="0">
        <references count="1">
          <reference field="0" count="1" selected="0" defaultSubtotal="1">
            <x v="4"/>
          </reference>
        </references>
      </pivotArea>
    </format>
    <format dxfId="101">
      <pivotArea dataOnly="0" labelOnly="1" outline="0" fieldPosition="0">
        <references count="1">
          <reference field="0" count="1" defaultSubtotal="1">
            <x v="4"/>
          </reference>
        </references>
      </pivotArea>
    </format>
    <format dxfId="100">
      <pivotArea outline="0" fieldPosition="0">
        <references count="1">
          <reference field="0" count="1" selected="0" defaultSubtotal="1">
            <x v="5"/>
          </reference>
        </references>
      </pivotArea>
    </format>
    <format dxfId="99">
      <pivotArea dataOnly="0" labelOnly="1" outline="0" fieldPosition="0">
        <references count="1">
          <reference field="0" count="1" defaultSubtotal="1">
            <x v="5"/>
          </reference>
        </references>
      </pivotArea>
    </format>
    <format dxfId="98">
      <pivotArea outline="0" fieldPosition="0">
        <references count="1">
          <reference field="0" count="1" selected="0" defaultSubtotal="1">
            <x v="6"/>
          </reference>
        </references>
      </pivotArea>
    </format>
    <format dxfId="97">
      <pivotArea dataOnly="0" labelOnly="1" outline="0" fieldPosition="0">
        <references count="1">
          <reference field="0" count="1" defaultSubtotal="1">
            <x v="6"/>
          </reference>
        </references>
      </pivotArea>
    </format>
    <format dxfId="96">
      <pivotArea outline="0" fieldPosition="0">
        <references count="1">
          <reference field="0" count="1" selected="0" defaultSubtotal="1">
            <x v="7"/>
          </reference>
        </references>
      </pivotArea>
    </format>
    <format dxfId="95">
      <pivotArea dataOnly="0" labelOnly="1" outline="0" fieldPosition="0">
        <references count="1">
          <reference field="0" count="1" defaultSubtotal="1">
            <x v="7"/>
          </reference>
        </references>
      </pivotArea>
    </format>
    <format dxfId="94">
      <pivotArea outline="0" fieldPosition="0">
        <references count="2">
          <reference field="0" count="1" selected="0">
            <x v="0"/>
          </reference>
          <reference field="1" count="1" selected="0">
            <x v="7"/>
          </reference>
        </references>
      </pivotArea>
    </format>
    <format dxfId="93">
      <pivotArea dataOnly="0" labelOnly="1" outline="0" fieldPosition="0">
        <references count="1">
          <reference field="0" count="1">
            <x v="0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0"/>
          </reference>
          <reference field="1" count="1">
            <x v="7"/>
          </reference>
        </references>
      </pivotArea>
    </format>
    <format dxfId="91">
      <pivotArea outline="0" fieldPosition="0">
        <references count="1">
          <reference field="4294967294" count="1" selected="0">
            <x v="1"/>
          </reference>
        </references>
      </pivotArea>
    </format>
    <format dxfId="90">
      <pivotArea field="0" type="button" dataOnly="0" labelOnly="1" outline="0" axis="axisRow" fieldPosition="0"/>
    </format>
    <format dxfId="89">
      <pivotArea field="1" type="button" dataOnly="0" labelOnly="1" outline="0" axis="axisRow" fieldPosition="1"/>
    </format>
    <format dxfId="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7">
      <pivotArea field="0" type="button" dataOnly="0" labelOnly="1" outline="0" axis="axisRow" fieldPosition="0"/>
    </format>
    <format dxfId="86">
      <pivotArea field="1" type="button" dataOnly="0" labelOnly="1" outline="0" axis="axisRow" fieldPosition="1"/>
    </format>
    <format dxfId="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4">
      <pivotArea grandRow="1" outline="0" collapsedLevelsAreSubtotals="1" fieldPosition="0"/>
    </format>
    <format dxfId="83">
      <pivotArea dataOnly="0" labelOnly="1" grandRow="1" outline="0" fieldPosition="0"/>
    </format>
    <format dxfId="82">
      <pivotArea outline="0" fieldPosition="0">
        <references count="1">
          <reference field="0" count="0" selected="0" defaultSubtotal="1"/>
        </references>
      </pivotArea>
    </format>
    <format dxfId="81">
      <pivotArea dataOnly="0" labelOnly="1" outline="0" fieldPosition="0">
        <references count="1">
          <reference field="0" count="0"/>
        </references>
      </pivotArea>
    </format>
    <format dxfId="80">
      <pivotArea dataOnly="0" labelOnly="1" outline="0" fieldPosition="0">
        <references count="1">
          <reference field="0" count="0" defaultSubtotal="1"/>
        </references>
      </pivotArea>
    </format>
    <format dxfId="79">
      <pivotArea dataOnly="0" labelOnly="1" outline="0" fieldPosition="0">
        <references count="2">
          <reference field="0" count="1" selected="0">
            <x v="0"/>
          </reference>
          <reference field="1" count="1">
            <x v="7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75">
      <pivotArea dataOnly="0" labelOnly="1" outline="0" fieldPosition="0">
        <references count="2">
          <reference field="0" count="1" selected="0">
            <x v="4"/>
          </reference>
          <reference field="1" count="1">
            <x v="6"/>
          </reference>
        </references>
      </pivotArea>
    </format>
    <format dxfId="74">
      <pivotArea dataOnly="0" labelOnly="1" outline="0" fieldPosition="0">
        <references count="2">
          <reference field="0" count="1" selected="0">
            <x v="5"/>
          </reference>
          <reference field="1" count="1">
            <x v="2"/>
          </reference>
        </references>
      </pivotArea>
    </format>
    <format dxfId="73">
      <pivotArea dataOnly="0" labelOnly="1" outline="0" fieldPosition="0">
        <references count="2">
          <reference field="0" count="1" selected="0">
            <x v="6"/>
          </reference>
          <reference field="1" count="1">
            <x v="3"/>
          </reference>
        </references>
      </pivotArea>
    </format>
    <format dxfId="72">
      <pivotArea dataOnly="0" labelOnly="1" outline="0" fieldPosition="0">
        <references count="2">
          <reference field="0" count="1" selected="0">
            <x v="7"/>
          </reference>
          <reference field="1" count="1">
            <x v="5"/>
          </reference>
        </references>
      </pivotArea>
    </format>
    <format dxfId="71">
      <pivotArea outline="0" fieldPosition="0">
        <references count="1">
          <reference field="0" count="2" selected="0" defaultSubtotal="1">
            <x v="0"/>
            <x v="1"/>
          </reference>
        </references>
      </pivotArea>
    </format>
    <format dxfId="70">
      <pivotArea dataOnly="0" labelOnly="1" outline="0" fieldPosition="0">
        <references count="1">
          <reference field="0" count="2">
            <x v="0"/>
            <x v="1"/>
          </reference>
        </references>
      </pivotArea>
    </format>
    <format dxfId="69">
      <pivotArea dataOnly="0" labelOnly="1" outline="0" fieldPosition="0">
        <references count="1">
          <reference field="0" count="2" defaultSubtotal="1">
            <x v="0"/>
            <x v="1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0"/>
          </reference>
          <reference field="1" count="1">
            <x v="7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1"/>
          </reference>
          <reference field="1" count="1">
            <x v="0"/>
          </reference>
        </references>
      </pivotArea>
    </format>
    <format dxfId="66">
      <pivotArea outline="0" fieldPosition="0">
        <references count="1">
          <reference field="0" count="5" selected="0" defaultSubtotal="1">
            <x v="2"/>
            <x v="3"/>
            <x v="4"/>
            <x v="5"/>
            <x v="6"/>
          </reference>
        </references>
      </pivotArea>
    </format>
    <format dxfId="65">
      <pivotArea outline="0" fieldPosition="0">
        <references count="2">
          <reference field="0" count="1" selected="0">
            <x v="7"/>
          </reference>
          <reference field="1" count="1" selected="0">
            <x v="5"/>
          </reference>
        </references>
      </pivotArea>
    </format>
  </formats>
  <chartFormats count="19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6C07F-C965-4983-85ED-BB8E102BC15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F5:I17" firstHeaderRow="0" firstDataRow="1" firstDataCol="2"/>
  <pivotFields count="9">
    <pivotField axis="axisRow" compact="0" outline="0" showAll="0" sortType="descending">
      <items count="9">
        <item x="7"/>
        <item x="1"/>
        <item x="0"/>
        <item x="3"/>
        <item x="5"/>
        <item x="4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numFmtId="166" outline="0" showAll="0"/>
    <pivotField compact="0" outline="0" showAll="0"/>
  </pivotFields>
  <rowFields count="2">
    <field x="1"/>
    <field x="0"/>
  </rowFields>
  <rowItems count="12">
    <i>
      <x/>
      <x v="5"/>
    </i>
    <i r="1">
      <x v="4"/>
    </i>
    <i r="1">
      <x v="1"/>
    </i>
    <i r="1">
      <x v="3"/>
    </i>
    <i r="1">
      <x v="2"/>
    </i>
    <i r="1">
      <x v="6"/>
    </i>
    <i t="default">
      <x/>
    </i>
    <i>
      <x v="1"/>
      <x/>
    </i>
    <i t="default">
      <x v="1"/>
    </i>
    <i>
      <x v="2"/>
      <x v="7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TEMS SOLD" fld="5" baseField="0" baseItem="0" numFmtId="167"/>
    <dataField name="Sum of REVENUE (RM)" fld="7" baseField="0" baseItem="0"/>
  </dataFields>
  <formats count="70">
    <format dxfId="252">
      <pivotArea field="0" type="button" dataOnly="0" labelOnly="1" outline="0" axis="axisRow" fieldPosition="1"/>
    </format>
    <format dxfId="251">
      <pivotArea dataOnly="0" labelOnly="1" outline="0" fieldPosition="0">
        <references count="2">
          <reference field="0" count="6">
            <x v="1"/>
            <x v="2"/>
            <x v="3"/>
            <x v="4"/>
            <x v="5"/>
            <x v="6"/>
          </reference>
          <reference field="1" count="1" selected="0">
            <x v="0"/>
          </reference>
        </references>
      </pivotArea>
    </format>
    <format dxfId="250">
      <pivotArea dataOnly="0" labelOnly="1" outline="0" fieldPosition="0">
        <references count="2">
          <reference field="0" count="1">
            <x v="0"/>
          </reference>
          <reference field="1" count="1" selected="0">
            <x v="1"/>
          </reference>
        </references>
      </pivotArea>
    </format>
    <format dxfId="249">
      <pivotArea dataOnly="0" labelOnly="1" outline="0" fieldPosition="0">
        <references count="2">
          <reference field="0" count="1">
            <x v="7"/>
          </reference>
          <reference field="1" count="1" selected="0">
            <x v="2"/>
          </reference>
        </references>
      </pivotArea>
    </format>
    <format dxfId="248">
      <pivotArea field="0" type="button" dataOnly="0" labelOnly="1" outline="0" axis="axisRow" fieldPosition="1"/>
    </format>
    <format dxfId="247">
      <pivotArea dataOnly="0" labelOnly="1" outline="0" fieldPosition="0">
        <references count="2">
          <reference field="0" count="6">
            <x v="1"/>
            <x v="2"/>
            <x v="3"/>
            <x v="4"/>
            <x v="5"/>
            <x v="6"/>
          </reference>
          <reference field="1" count="1" selected="0">
            <x v="0"/>
          </reference>
        </references>
      </pivotArea>
    </format>
    <format dxfId="246">
      <pivotArea dataOnly="0" labelOnly="1" outline="0" fieldPosition="0">
        <references count="2">
          <reference field="0" count="1">
            <x v="0"/>
          </reference>
          <reference field="1" count="1" selected="0">
            <x v="1"/>
          </reference>
        </references>
      </pivotArea>
    </format>
    <format dxfId="245">
      <pivotArea dataOnly="0" labelOnly="1" outline="0" fieldPosition="0">
        <references count="2">
          <reference field="0" count="1">
            <x v="7"/>
          </reference>
          <reference field="1" count="1" selected="0">
            <x v="2"/>
          </reference>
        </references>
      </pivotArea>
    </format>
    <format dxfId="244">
      <pivotArea outline="0" collapsedLevelsAreSubtotals="1" fieldPosition="0"/>
    </format>
    <format dxfId="243">
      <pivotArea dataOnly="0" labelOnly="1" outline="0" axis="axisValues" fieldPosition="0"/>
    </format>
    <format dxfId="242">
      <pivotArea outline="0" collapsedLevelsAreSubtotals="1" fieldPosition="0"/>
    </format>
    <format dxfId="241">
      <pivotArea dataOnly="0" labelOnly="1" outline="0" axis="axisValues" fieldPosition="0"/>
    </format>
    <format dxfId="240">
      <pivotArea field="1" type="button" dataOnly="0" labelOnly="1" outline="0" axis="axisRow" fieldPosition="0"/>
    </format>
    <format dxfId="239">
      <pivotArea dataOnly="0" labelOnly="1" outline="0" fieldPosition="0">
        <references count="1">
          <reference field="1" count="1">
            <x v="0"/>
          </reference>
        </references>
      </pivotArea>
    </format>
    <format dxfId="238">
      <pivotArea dataOnly="0" labelOnly="1" outline="0" fieldPosition="0">
        <references count="1">
          <reference field="1" count="1" defaultSubtotal="1">
            <x v="0"/>
          </reference>
        </references>
      </pivotArea>
    </format>
    <format dxfId="237">
      <pivotArea dataOnly="0" labelOnly="1" outline="0" fieldPosition="0">
        <references count="1">
          <reference field="1" count="1">
            <x v="1"/>
          </reference>
        </references>
      </pivotArea>
    </format>
    <format dxfId="236">
      <pivotArea dataOnly="0" labelOnly="1" outline="0" fieldPosition="0">
        <references count="1">
          <reference field="1" count="1" defaultSubtotal="1">
            <x v="1"/>
          </reference>
        </references>
      </pivotArea>
    </format>
    <format dxfId="235">
      <pivotArea dataOnly="0" labelOnly="1" outline="0" fieldPosition="0">
        <references count="1">
          <reference field="1" count="1">
            <x v="2"/>
          </reference>
        </references>
      </pivotArea>
    </format>
    <format dxfId="234">
      <pivotArea dataOnly="0" labelOnly="1" outline="0" fieldPosition="0">
        <references count="1">
          <reference field="1" count="1" defaultSubtotal="1">
            <x v="2"/>
          </reference>
        </references>
      </pivotArea>
    </format>
    <format dxfId="233">
      <pivotArea dataOnly="0" labelOnly="1" grandRow="1" outline="0" fieldPosition="0"/>
    </format>
    <format dxfId="232">
      <pivotArea field="1" type="button" dataOnly="0" labelOnly="1" outline="0" axis="axisRow" fieldPosition="0"/>
    </format>
    <format dxfId="231">
      <pivotArea dataOnly="0" labelOnly="1" outline="0" fieldPosition="0">
        <references count="1">
          <reference field="1" count="1">
            <x v="0"/>
          </reference>
        </references>
      </pivotArea>
    </format>
    <format dxfId="230">
      <pivotArea dataOnly="0" labelOnly="1" outline="0" fieldPosition="0">
        <references count="1">
          <reference field="1" count="1" defaultSubtotal="1">
            <x v="0"/>
          </reference>
        </references>
      </pivotArea>
    </format>
    <format dxfId="229">
      <pivotArea dataOnly="0" labelOnly="1" outline="0" fieldPosition="0">
        <references count="1">
          <reference field="1" count="1">
            <x v="1"/>
          </reference>
        </references>
      </pivotArea>
    </format>
    <format dxfId="228">
      <pivotArea dataOnly="0" labelOnly="1" outline="0" fieldPosition="0">
        <references count="1">
          <reference field="1" count="1" defaultSubtotal="1">
            <x v="1"/>
          </reference>
        </references>
      </pivotArea>
    </format>
    <format dxfId="227">
      <pivotArea dataOnly="0" labelOnly="1" outline="0" fieldPosition="0">
        <references count="1">
          <reference field="1" count="1">
            <x v="2"/>
          </reference>
        </references>
      </pivotArea>
    </format>
    <format dxfId="226">
      <pivotArea dataOnly="0" labelOnly="1" outline="0" fieldPosition="0">
        <references count="1">
          <reference field="1" count="1" defaultSubtotal="1">
            <x v="2"/>
          </reference>
        </references>
      </pivotArea>
    </format>
    <format dxfId="225">
      <pivotArea dataOnly="0" labelOnly="1" grandRow="1" outline="0" fieldPosition="0"/>
    </format>
    <format dxfId="224">
      <pivotArea field="1" type="button" dataOnly="0" labelOnly="1" outline="0" axis="axisRow" fieldPosition="0"/>
    </format>
    <format dxfId="223">
      <pivotArea field="0" type="button" dataOnly="0" labelOnly="1" outline="0" axis="axisRow" fieldPosition="1"/>
    </format>
    <format dxfId="222">
      <pivotArea dataOnly="0" labelOnly="1" outline="0" axis="axisValues" fieldPosition="0"/>
    </format>
    <format dxfId="221">
      <pivotArea grandRow="1" outline="0" collapsedLevelsAreSubtotals="1" fieldPosition="0"/>
    </format>
    <format dxfId="220">
      <pivotArea dataOnly="0" labelOnly="1" grandRow="1" outline="0" fieldPosition="0"/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dataOnly="0" labelOnly="1" outline="0" fieldPosition="0">
        <references count="1">
          <reference field="1" count="0"/>
        </references>
      </pivotArea>
    </format>
    <format dxfId="216">
      <pivotArea dataOnly="0" labelOnly="1" outline="0" fieldPosition="0">
        <references count="1">
          <reference field="1" count="0" defaultSubtotal="1"/>
        </references>
      </pivotArea>
    </format>
    <format dxfId="215">
      <pivotArea dataOnly="0" labelOnly="1" outline="0" fieldPosition="0">
        <references count="2">
          <reference field="0" count="6">
            <x v="1"/>
            <x v="2"/>
            <x v="3"/>
            <x v="4"/>
            <x v="5"/>
            <x v="6"/>
          </reference>
          <reference field="1" count="1" selected="0">
            <x v="0"/>
          </reference>
        </references>
      </pivotArea>
    </format>
    <format dxfId="214">
      <pivotArea dataOnly="0" labelOnly="1" outline="0" fieldPosition="0">
        <references count="2">
          <reference field="0" count="1">
            <x v="0"/>
          </reference>
          <reference field="1" count="1" selected="0">
            <x v="1"/>
          </reference>
        </references>
      </pivotArea>
    </format>
    <format dxfId="213">
      <pivotArea dataOnly="0" labelOnly="1" outline="0" fieldPosition="0">
        <references count="2">
          <reference field="0" count="1">
            <x v="7"/>
          </reference>
          <reference field="1" count="1" selected="0">
            <x v="2"/>
          </reference>
        </references>
      </pivotArea>
    </format>
    <format dxfId="212">
      <pivotArea grandRow="1" outline="0" collapsedLevelsAreSubtotals="1" fieldPosition="0"/>
    </format>
    <format dxfId="211">
      <pivotArea dataOnly="0" labelOnly="1" grandRow="1" outline="0" fieldPosition="0"/>
    </format>
    <format dxfId="210">
      <pivotArea outline="0" fieldPosition="0">
        <references count="1">
          <reference field="1" count="0" selected="0" defaultSubtotal="1"/>
        </references>
      </pivotArea>
    </format>
    <format dxfId="209">
      <pivotArea dataOnly="0" labelOnly="1" outline="0" fieldPosition="0">
        <references count="1">
          <reference field="1" count="0"/>
        </references>
      </pivotArea>
    </format>
    <format dxfId="208">
      <pivotArea dataOnly="0" labelOnly="1" outline="0" fieldPosition="0">
        <references count="1">
          <reference field="1" count="0" defaultSubtotal="1"/>
        </references>
      </pivotArea>
    </format>
    <format dxfId="207">
      <pivotArea dataOnly="0" labelOnly="1" outline="0" fieldPosition="0">
        <references count="2">
          <reference field="0" count="6">
            <x v="1"/>
            <x v="2"/>
            <x v="3"/>
            <x v="4"/>
            <x v="5"/>
            <x v="6"/>
          </reference>
          <reference field="1" count="1" selected="0">
            <x v="0"/>
          </reference>
        </references>
      </pivotArea>
    </format>
    <format dxfId="206">
      <pivotArea dataOnly="0" labelOnly="1" outline="0" fieldPosition="0">
        <references count="2">
          <reference field="0" count="1">
            <x v="0"/>
          </reference>
          <reference field="1" count="1" selected="0">
            <x v="1"/>
          </reference>
        </references>
      </pivotArea>
    </format>
    <format dxfId="205">
      <pivotArea dataOnly="0" labelOnly="1" outline="0" fieldPosition="0">
        <references count="2">
          <reference field="0" count="1">
            <x v="7"/>
          </reference>
          <reference field="1" count="1" selected="0">
            <x v="2"/>
          </reference>
        </references>
      </pivotArea>
    </format>
    <format dxfId="204">
      <pivotArea outline="0" fieldPosition="0">
        <references count="1">
          <reference field="1" count="0" selected="0" defaultSubtotal="1"/>
        </references>
      </pivotArea>
    </format>
    <format dxfId="203">
      <pivotArea dataOnly="0" labelOnly="1" outline="0" axis="axisValues" fieldPosition="0"/>
    </format>
    <format dxfId="202">
      <pivotArea outline="0" collapsedLevelsAreSubtotals="1" fieldPosition="0"/>
    </format>
    <format dxfId="201">
      <pivotArea field="1" type="button" dataOnly="0" labelOnly="1" outline="0" axis="axisRow" fieldPosition="0"/>
    </format>
    <format dxfId="200">
      <pivotArea dataOnly="0" labelOnly="1" outline="0" fieldPosition="0">
        <references count="1">
          <reference field="1" count="1">
            <x v="0"/>
          </reference>
        </references>
      </pivotArea>
    </format>
    <format dxfId="199">
      <pivotArea dataOnly="0" labelOnly="1" outline="0" offset="A256" fieldPosition="0">
        <references count="1">
          <reference field="1" count="1" defaultSubtotal="1">
            <x v="0"/>
          </reference>
        </references>
      </pivotArea>
    </format>
    <format dxfId="198">
      <pivotArea dataOnly="0" labelOnly="1" outline="0" fieldPosition="0">
        <references count="1">
          <reference field="1" count="1">
            <x v="1"/>
          </reference>
        </references>
      </pivotArea>
    </format>
    <format dxfId="197">
      <pivotArea dataOnly="0" labelOnly="1" outline="0" offset="A256" fieldPosition="0">
        <references count="1">
          <reference field="1" count="1" defaultSubtotal="1">
            <x v="1"/>
          </reference>
        </references>
      </pivotArea>
    </format>
    <format dxfId="196">
      <pivotArea dataOnly="0" labelOnly="1" outline="0" fieldPosition="0">
        <references count="1">
          <reference field="1" count="1">
            <x v="2"/>
          </reference>
        </references>
      </pivotArea>
    </format>
    <format dxfId="195">
      <pivotArea dataOnly="0" labelOnly="1" outline="0" offset="A256" fieldPosition="0">
        <references count="1">
          <reference field="1" count="1" defaultSubtotal="1">
            <x v="2"/>
          </reference>
        </references>
      </pivotArea>
    </format>
    <format dxfId="194">
      <pivotArea dataOnly="0" labelOnly="1" grandRow="1" outline="0" offset="A256" fieldPosition="0"/>
    </format>
    <format dxfId="193">
      <pivotArea field="0" type="button" dataOnly="0" labelOnly="1" outline="0" axis="axisRow" fieldPosition="1"/>
    </format>
    <format dxfId="192">
      <pivotArea dataOnly="0" labelOnly="1" outline="0" offset="IV256" fieldPosition="0">
        <references count="1">
          <reference field="1" count="1" defaultSubtotal="1">
            <x v="0"/>
          </reference>
        </references>
      </pivotArea>
    </format>
    <format dxfId="191">
      <pivotArea dataOnly="0" labelOnly="1" outline="0" offset="IV256" fieldPosition="0">
        <references count="1">
          <reference field="1" count="1" defaultSubtotal="1">
            <x v="1"/>
          </reference>
        </references>
      </pivotArea>
    </format>
    <format dxfId="190">
      <pivotArea dataOnly="0" labelOnly="1" outline="0" offset="IV256" fieldPosition="0">
        <references count="1">
          <reference field="1" count="1" defaultSubtotal="1">
            <x v="2"/>
          </reference>
        </references>
      </pivotArea>
    </format>
    <format dxfId="189">
      <pivotArea dataOnly="0" labelOnly="1" grandRow="1" outline="0" offset="IV256" fieldPosition="0"/>
    </format>
    <format dxfId="188">
      <pivotArea dataOnly="0" labelOnly="1" outline="0" fieldPosition="0">
        <references count="2">
          <reference field="0" count="6">
            <x v="1"/>
            <x v="2"/>
            <x v="3"/>
            <x v="4"/>
            <x v="5"/>
            <x v="6"/>
          </reference>
          <reference field="1" count="1" selected="0">
            <x v="0"/>
          </reference>
        </references>
      </pivotArea>
    </format>
    <format dxfId="187">
      <pivotArea dataOnly="0" labelOnly="1" outline="0" fieldPosition="0">
        <references count="2">
          <reference field="0" count="1">
            <x v="0"/>
          </reference>
          <reference field="1" count="1" selected="0">
            <x v="1"/>
          </reference>
        </references>
      </pivotArea>
    </format>
    <format dxfId="186">
      <pivotArea dataOnly="0" labelOnly="1" outline="0" fieldPosition="0">
        <references count="2">
          <reference field="0" count="1">
            <x v="7"/>
          </reference>
          <reference field="1" count="1" selected="0">
            <x v="2"/>
          </reference>
        </references>
      </pivotArea>
    </format>
    <format dxfId="1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4">
      <pivotArea outline="0" fieldPosition="0">
        <references count="1">
          <reference field="1" count="2" selected="0" defaultSubtotal="1">
            <x v="0"/>
            <x v="1"/>
          </reference>
        </references>
      </pivotArea>
    </format>
    <format dxfId="183">
      <pivotArea outline="0" fieldPosition="0">
        <references count="2">
          <reference field="0" count="1" selected="0">
            <x v="7"/>
          </reference>
          <reference field="1" count="1" selected="0">
            <x v="2"/>
          </reference>
        </references>
      </pivotArea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0B8D-ACA1-4B69-9314-B6739CF65B93}">
  <dimension ref="A1:E6"/>
  <sheetViews>
    <sheetView tabSelected="1" workbookViewId="0">
      <selection activeCell="E3" sqref="E3"/>
    </sheetView>
  </sheetViews>
  <sheetFormatPr defaultRowHeight="14.4" x14ac:dyDescent="0.3"/>
  <cols>
    <col min="1" max="1" width="12" customWidth="1"/>
  </cols>
  <sheetData>
    <row r="1" spans="1:5" x14ac:dyDescent="0.3">
      <c r="A1" t="s">
        <v>157</v>
      </c>
      <c r="B1" t="s">
        <v>158</v>
      </c>
    </row>
    <row r="3" spans="1:5" x14ac:dyDescent="0.3">
      <c r="A3" t="s">
        <v>155</v>
      </c>
      <c r="B3" t="s">
        <v>156</v>
      </c>
      <c r="E3" t="s">
        <v>153</v>
      </c>
    </row>
    <row r="4" spans="1:5" x14ac:dyDescent="0.3">
      <c r="B4" t="s">
        <v>152</v>
      </c>
      <c r="E4" t="s">
        <v>154</v>
      </c>
    </row>
    <row r="6" spans="1:5" x14ac:dyDescent="0.3">
      <c r="A6" t="s">
        <v>159</v>
      </c>
      <c r="B6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opLeftCell="A4" workbookViewId="0">
      <selection activeCell="F3" sqref="F3"/>
    </sheetView>
  </sheetViews>
  <sheetFormatPr defaultRowHeight="14.4" x14ac:dyDescent="0.3"/>
  <cols>
    <col min="1" max="3" width="18.5546875" customWidth="1"/>
    <col min="4" max="4" width="41.5546875" customWidth="1"/>
    <col min="5" max="5" width="24.33203125" customWidth="1"/>
    <col min="6" max="7" width="18.5546875" customWidth="1"/>
    <col min="8" max="8" width="22.6640625" customWidth="1"/>
  </cols>
  <sheetData>
    <row r="1" spans="1:8" ht="20.399999999999999" x14ac:dyDescent="0.3">
      <c r="A1" s="222" t="s">
        <v>0</v>
      </c>
      <c r="B1" s="223"/>
      <c r="C1" s="223"/>
      <c r="D1" s="223"/>
      <c r="E1" s="223"/>
      <c r="F1" s="223"/>
      <c r="G1" s="223"/>
      <c r="H1" s="223"/>
    </row>
    <row r="3" spans="1:8" x14ac:dyDescent="0.3">
      <c r="A3" s="45" t="s">
        <v>1</v>
      </c>
      <c r="B3" s="46"/>
      <c r="C3" s="46"/>
      <c r="D3" s="46"/>
    </row>
    <row r="5" spans="1:8" ht="18" customHeight="1" x14ac:dyDescent="0.3">
      <c r="A5" s="41" t="s">
        <v>2</v>
      </c>
      <c r="B5" s="42" t="s">
        <v>3</v>
      </c>
      <c r="C5" s="43" t="s">
        <v>4</v>
      </c>
      <c r="D5" s="43" t="s">
        <v>5</v>
      </c>
      <c r="E5" s="43" t="s">
        <v>6</v>
      </c>
      <c r="F5" s="43" t="s">
        <v>7</v>
      </c>
      <c r="G5" s="43" t="s">
        <v>8</v>
      </c>
      <c r="H5" s="44" t="s">
        <v>9</v>
      </c>
    </row>
    <row r="6" spans="1:8" ht="71.25" customHeight="1" x14ac:dyDescent="0.3">
      <c r="A6" s="12" t="s">
        <v>10</v>
      </c>
      <c r="B6" s="13" t="s">
        <v>11</v>
      </c>
      <c r="C6" s="14" t="s">
        <v>12</v>
      </c>
      <c r="D6" s="15" t="s">
        <v>13</v>
      </c>
      <c r="E6" s="16" t="s">
        <v>14</v>
      </c>
      <c r="F6" s="17" t="s">
        <v>15</v>
      </c>
      <c r="G6" s="18">
        <v>4000</v>
      </c>
      <c r="H6" s="18">
        <v>1200</v>
      </c>
    </row>
    <row r="7" spans="1:8" ht="58.5" customHeight="1" x14ac:dyDescent="0.3">
      <c r="A7" s="19" t="s">
        <v>16</v>
      </c>
      <c r="B7" s="13" t="s">
        <v>17</v>
      </c>
      <c r="C7" s="20" t="s">
        <v>18</v>
      </c>
      <c r="D7" s="21" t="s">
        <v>19</v>
      </c>
      <c r="E7" s="22" t="s">
        <v>20</v>
      </c>
      <c r="F7" s="23" t="s">
        <v>21</v>
      </c>
      <c r="G7" s="18">
        <v>6600</v>
      </c>
      <c r="H7" s="18">
        <v>3200</v>
      </c>
    </row>
    <row r="8" spans="1:8" ht="59.25" customHeight="1" x14ac:dyDescent="0.3">
      <c r="A8" s="19" t="s">
        <v>22</v>
      </c>
      <c r="B8" s="24" t="s">
        <v>23</v>
      </c>
      <c r="C8" s="20" t="s">
        <v>24</v>
      </c>
      <c r="D8" s="13" t="s">
        <v>25</v>
      </c>
      <c r="E8" s="23" t="s">
        <v>26</v>
      </c>
      <c r="F8" s="23" t="s">
        <v>27</v>
      </c>
      <c r="G8" s="18">
        <v>3100</v>
      </c>
      <c r="H8" s="18">
        <v>1600</v>
      </c>
    </row>
    <row r="9" spans="1:8" ht="78" customHeight="1" x14ac:dyDescent="0.3">
      <c r="A9" s="25" t="s">
        <v>28</v>
      </c>
      <c r="B9" s="13" t="s">
        <v>29</v>
      </c>
      <c r="C9" s="20" t="s">
        <v>30</v>
      </c>
      <c r="D9" s="26" t="s">
        <v>31</v>
      </c>
      <c r="E9" s="17" t="s">
        <v>32</v>
      </c>
      <c r="F9" s="17" t="s">
        <v>33</v>
      </c>
      <c r="G9" s="27">
        <v>5300</v>
      </c>
      <c r="H9" s="27">
        <v>1500</v>
      </c>
    </row>
    <row r="10" spans="1:8" ht="71.25" customHeight="1" x14ac:dyDescent="0.3">
      <c r="A10" s="12" t="s">
        <v>34</v>
      </c>
      <c r="B10" s="13" t="s">
        <v>35</v>
      </c>
      <c r="C10" s="20" t="s">
        <v>36</v>
      </c>
      <c r="D10" s="13" t="s">
        <v>37</v>
      </c>
      <c r="E10" s="23" t="s">
        <v>32</v>
      </c>
      <c r="F10" s="23" t="s">
        <v>33</v>
      </c>
      <c r="G10" s="18">
        <v>8000</v>
      </c>
      <c r="H10" s="18">
        <v>5800</v>
      </c>
    </row>
    <row r="11" spans="1:8" ht="59.25" customHeight="1" x14ac:dyDescent="0.3">
      <c r="A11" s="19" t="s">
        <v>38</v>
      </c>
      <c r="B11" s="13" t="s">
        <v>39</v>
      </c>
      <c r="C11" s="14" t="s">
        <v>40</v>
      </c>
      <c r="D11" s="28" t="s">
        <v>41</v>
      </c>
      <c r="E11" s="29" t="s">
        <v>26</v>
      </c>
      <c r="F11" s="29" t="s">
        <v>27</v>
      </c>
      <c r="G11" s="18">
        <v>7500</v>
      </c>
      <c r="H11" s="27">
        <v>2500</v>
      </c>
    </row>
    <row r="12" spans="1:8" ht="73.5" customHeight="1" x14ac:dyDescent="0.3">
      <c r="A12" s="19" t="s">
        <v>42</v>
      </c>
      <c r="B12" s="24" t="s">
        <v>43</v>
      </c>
      <c r="C12" s="30" t="s">
        <v>44</v>
      </c>
      <c r="D12" s="31" t="s">
        <v>45</v>
      </c>
      <c r="E12" s="32" t="s">
        <v>46</v>
      </c>
      <c r="F12" s="23" t="s">
        <v>47</v>
      </c>
      <c r="G12" s="33">
        <v>6000</v>
      </c>
      <c r="H12" s="18">
        <v>3500</v>
      </c>
    </row>
    <row r="13" spans="1:8" ht="55.8" x14ac:dyDescent="0.3">
      <c r="A13" s="25" t="s">
        <v>48</v>
      </c>
      <c r="B13" s="34" t="s">
        <v>49</v>
      </c>
      <c r="C13" s="35" t="s">
        <v>50</v>
      </c>
      <c r="D13" s="36" t="s">
        <v>51</v>
      </c>
      <c r="E13" s="37" t="s">
        <v>52</v>
      </c>
      <c r="F13" s="38" t="s">
        <v>53</v>
      </c>
      <c r="G13" s="39">
        <v>8500</v>
      </c>
      <c r="H13" s="40">
        <v>5000</v>
      </c>
    </row>
    <row r="14" spans="1:8" x14ac:dyDescent="0.3">
      <c r="D14" s="1"/>
    </row>
  </sheetData>
  <sortState xmlns:xlrd2="http://schemas.microsoft.com/office/spreadsheetml/2017/richdata2" ref="A6:H12">
    <sortCondition sortBy="cellColor" ref="E6" dxfId="253"/>
  </sortState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0875-AF1A-408E-B4AB-82CFD4659C3A}">
  <dimension ref="A1:M17"/>
  <sheetViews>
    <sheetView workbookViewId="0">
      <selection activeCell="D17" sqref="D17"/>
    </sheetView>
  </sheetViews>
  <sheetFormatPr defaultRowHeight="14.4" x14ac:dyDescent="0.3"/>
  <cols>
    <col min="1" max="1" width="23.5546875" customWidth="1"/>
    <col min="2" max="2" width="27.5546875" customWidth="1"/>
    <col min="3" max="4" width="17.109375" customWidth="1"/>
    <col min="5" max="5" width="23.109375" customWidth="1"/>
    <col min="6" max="6" width="17.5546875" customWidth="1"/>
    <col min="7" max="7" width="23" customWidth="1"/>
    <col min="8" max="8" width="19.6640625" customWidth="1"/>
    <col min="9" max="9" width="25.109375" customWidth="1"/>
    <col min="10" max="10" width="9.6640625" bestFit="1" customWidth="1"/>
  </cols>
  <sheetData>
    <row r="1" spans="1:13" ht="15.6" x14ac:dyDescent="0.3">
      <c r="A1" s="8" t="s">
        <v>63</v>
      </c>
      <c r="B1" s="49" t="s">
        <v>64</v>
      </c>
      <c r="C1" s="50" t="s">
        <v>65</v>
      </c>
      <c r="D1" s="51" t="s">
        <v>4</v>
      </c>
      <c r="E1" s="52" t="s">
        <v>66</v>
      </c>
      <c r="F1" s="53" t="s">
        <v>67</v>
      </c>
      <c r="G1" s="54" t="s">
        <v>68</v>
      </c>
      <c r="H1" s="51" t="s">
        <v>69</v>
      </c>
      <c r="I1" s="50" t="s">
        <v>70</v>
      </c>
    </row>
    <row r="2" spans="1:13" x14ac:dyDescent="0.3">
      <c r="A2" s="5" t="s">
        <v>10</v>
      </c>
      <c r="B2" s="55" t="s">
        <v>71</v>
      </c>
      <c r="C2" s="56" t="s">
        <v>72</v>
      </c>
      <c r="D2" s="57" t="s">
        <v>73</v>
      </c>
      <c r="E2" s="121">
        <v>91</v>
      </c>
      <c r="F2" s="117">
        <v>4000</v>
      </c>
      <c r="G2" s="58"/>
      <c r="H2" s="203">
        <f t="shared" ref="H2:H9" si="0">E2*F2</f>
        <v>364000</v>
      </c>
      <c r="I2" s="124"/>
      <c r="J2" s="9"/>
    </row>
    <row r="3" spans="1:13" x14ac:dyDescent="0.3">
      <c r="A3" s="6" t="s">
        <v>16</v>
      </c>
      <c r="B3" s="59" t="s">
        <v>71</v>
      </c>
      <c r="C3" s="60" t="s">
        <v>74</v>
      </c>
      <c r="D3" s="61" t="s">
        <v>75</v>
      </c>
      <c r="E3" s="122">
        <v>7</v>
      </c>
      <c r="F3" s="118">
        <v>6600</v>
      </c>
      <c r="G3" s="62"/>
      <c r="H3" s="204">
        <f t="shared" si="0"/>
        <v>46200</v>
      </c>
      <c r="I3" s="124"/>
    </row>
    <row r="4" spans="1:13" x14ac:dyDescent="0.3">
      <c r="A4" s="5" t="s">
        <v>22</v>
      </c>
      <c r="B4" s="63" t="s">
        <v>71</v>
      </c>
      <c r="C4" s="64" t="s">
        <v>76</v>
      </c>
      <c r="D4" s="57" t="s">
        <v>77</v>
      </c>
      <c r="E4" s="121">
        <v>28</v>
      </c>
      <c r="F4" s="119">
        <v>3100</v>
      </c>
      <c r="G4" s="62" t="s">
        <v>78</v>
      </c>
      <c r="H4" s="205">
        <f t="shared" si="0"/>
        <v>86800</v>
      </c>
      <c r="I4" s="124"/>
    </row>
    <row r="5" spans="1:13" x14ac:dyDescent="0.3">
      <c r="A5" s="6" t="s">
        <v>28</v>
      </c>
      <c r="B5" s="65" t="s">
        <v>71</v>
      </c>
      <c r="C5" s="60" t="s">
        <v>79</v>
      </c>
      <c r="D5" s="61" t="s">
        <v>80</v>
      </c>
      <c r="E5" s="122">
        <v>21</v>
      </c>
      <c r="F5" s="118">
        <v>5300</v>
      </c>
      <c r="G5" s="62"/>
      <c r="H5" s="204">
        <f t="shared" si="0"/>
        <v>111300</v>
      </c>
      <c r="I5" s="206">
        <f>SUM(H2:H9)</f>
        <v>1106000</v>
      </c>
    </row>
    <row r="6" spans="1:13" x14ac:dyDescent="0.3">
      <c r="A6" s="5" t="s">
        <v>34</v>
      </c>
      <c r="B6" s="66" t="s">
        <v>71</v>
      </c>
      <c r="C6" s="67" t="s">
        <v>81</v>
      </c>
      <c r="D6" s="57" t="s">
        <v>24</v>
      </c>
      <c r="E6" s="121">
        <v>21</v>
      </c>
      <c r="F6" s="119">
        <v>8000</v>
      </c>
      <c r="G6" s="62"/>
      <c r="H6" s="205">
        <f t="shared" si="0"/>
        <v>168000</v>
      </c>
      <c r="I6" s="124"/>
    </row>
    <row r="7" spans="1:13" x14ac:dyDescent="0.3">
      <c r="A7" s="6" t="s">
        <v>38</v>
      </c>
      <c r="B7" s="68" t="s">
        <v>71</v>
      </c>
      <c r="C7" s="64" t="s">
        <v>82</v>
      </c>
      <c r="D7" s="61" t="s">
        <v>30</v>
      </c>
      <c r="E7" s="122">
        <v>28</v>
      </c>
      <c r="F7" s="118">
        <v>7500</v>
      </c>
      <c r="G7" s="69"/>
      <c r="H7" s="204">
        <f t="shared" si="0"/>
        <v>210000</v>
      </c>
      <c r="I7" s="124"/>
    </row>
    <row r="8" spans="1:13" x14ac:dyDescent="0.3">
      <c r="A8" s="5" t="s">
        <v>42</v>
      </c>
      <c r="B8" s="70" t="s">
        <v>83</v>
      </c>
      <c r="C8" s="71" t="s">
        <v>84</v>
      </c>
      <c r="D8" s="57" t="s">
        <v>44</v>
      </c>
      <c r="E8" s="121">
        <v>14</v>
      </c>
      <c r="F8" s="119">
        <v>6000</v>
      </c>
      <c r="G8" s="62" t="s">
        <v>85</v>
      </c>
      <c r="H8" s="205">
        <f t="shared" si="0"/>
        <v>84000</v>
      </c>
      <c r="I8" s="124"/>
    </row>
    <row r="9" spans="1:13" x14ac:dyDescent="0.3">
      <c r="A9" s="7" t="s">
        <v>48</v>
      </c>
      <c r="B9" s="72" t="s">
        <v>86</v>
      </c>
      <c r="C9" s="73" t="s">
        <v>87</v>
      </c>
      <c r="D9" s="74" t="s">
        <v>50</v>
      </c>
      <c r="E9" s="123">
        <v>4.2</v>
      </c>
      <c r="F9" s="120">
        <v>8500</v>
      </c>
      <c r="G9" s="75" t="s">
        <v>88</v>
      </c>
      <c r="H9" s="204">
        <f t="shared" si="0"/>
        <v>35700</v>
      </c>
      <c r="I9" s="125"/>
    </row>
    <row r="11" spans="1:13" x14ac:dyDescent="0.3">
      <c r="E11" s="209"/>
      <c r="M11" s="208"/>
    </row>
    <row r="17" spans="5:5" x14ac:dyDescent="0.3">
      <c r="E17" s="208"/>
    </row>
  </sheetData>
  <sortState xmlns:xlrd2="http://schemas.microsoft.com/office/spreadsheetml/2017/richdata2" ref="A2:J9">
    <sortCondition sortBy="icon" ref="H2:H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FA82-B5BB-4A4B-883E-C696012D15B2}">
  <dimension ref="A1:K19"/>
  <sheetViews>
    <sheetView workbookViewId="0">
      <selection activeCell="J11" sqref="J11"/>
    </sheetView>
  </sheetViews>
  <sheetFormatPr defaultRowHeight="14.4" x14ac:dyDescent="0.3"/>
  <cols>
    <col min="1" max="1" width="13" customWidth="1"/>
    <col min="2" max="2" width="14.88671875" customWidth="1"/>
    <col min="3" max="3" width="11.33203125" customWidth="1"/>
    <col min="4" max="4" width="15.33203125" customWidth="1"/>
    <col min="5" max="5" width="6" customWidth="1"/>
    <col min="6" max="6" width="24.109375" customWidth="1"/>
    <col min="7" max="7" width="15" customWidth="1"/>
    <col min="8" max="8" width="18.44140625" customWidth="1"/>
    <col min="9" max="9" width="27.44140625" customWidth="1"/>
    <col min="10" max="10" width="30.109375" customWidth="1"/>
    <col min="11" max="11" width="21.6640625" customWidth="1"/>
  </cols>
  <sheetData>
    <row r="1" spans="1:11" x14ac:dyDescent="0.3">
      <c r="A1" s="92" t="s">
        <v>89</v>
      </c>
      <c r="B1" s="92" t="s">
        <v>90</v>
      </c>
      <c r="C1" s="92" t="s">
        <v>91</v>
      </c>
      <c r="D1" s="92" t="s">
        <v>92</v>
      </c>
      <c r="E1" s="92" t="s">
        <v>93</v>
      </c>
      <c r="F1" s="92" t="s">
        <v>94</v>
      </c>
      <c r="G1" s="92" t="s">
        <v>95</v>
      </c>
      <c r="H1" s="93" t="s">
        <v>96</v>
      </c>
      <c r="I1" s="94" t="s">
        <v>97</v>
      </c>
      <c r="J1" s="95" t="s">
        <v>98</v>
      </c>
      <c r="K1" s="92" t="s">
        <v>99</v>
      </c>
    </row>
    <row r="2" spans="1:11" x14ac:dyDescent="0.3">
      <c r="A2" s="76">
        <v>39452</v>
      </c>
      <c r="B2" s="76" t="s">
        <v>100</v>
      </c>
      <c r="C2" s="76" t="s">
        <v>101</v>
      </c>
      <c r="D2" s="76" t="s">
        <v>102</v>
      </c>
      <c r="E2" s="76">
        <v>45</v>
      </c>
      <c r="F2" s="76" t="s">
        <v>103</v>
      </c>
      <c r="G2" s="77">
        <v>5800</v>
      </c>
      <c r="H2" s="78">
        <v>364000</v>
      </c>
      <c r="I2" s="213">
        <f t="shared" ref="I2:I7" si="0">H2*0.06</f>
        <v>21840</v>
      </c>
      <c r="J2" s="79">
        <f t="shared" ref="J2:J7" si="1">H2*0.04</f>
        <v>14560</v>
      </c>
      <c r="K2" s="80">
        <f t="shared" ref="K2:K7" si="2">H2*0.05</f>
        <v>18200</v>
      </c>
    </row>
    <row r="3" spans="1:11" x14ac:dyDescent="0.3">
      <c r="A3" s="76">
        <v>28329</v>
      </c>
      <c r="B3" s="76" t="s">
        <v>104</v>
      </c>
      <c r="C3" s="76" t="s">
        <v>105</v>
      </c>
      <c r="D3" s="76" t="s">
        <v>106</v>
      </c>
      <c r="E3" s="76">
        <v>22</v>
      </c>
      <c r="F3" s="76" t="s">
        <v>107</v>
      </c>
      <c r="G3" s="77">
        <v>2000</v>
      </c>
      <c r="H3" s="81">
        <v>46200</v>
      </c>
      <c r="I3" s="213">
        <f t="shared" si="0"/>
        <v>2772</v>
      </c>
      <c r="J3" s="79">
        <f t="shared" si="1"/>
        <v>1848</v>
      </c>
      <c r="K3" s="82">
        <f t="shared" si="2"/>
        <v>2310</v>
      </c>
    </row>
    <row r="4" spans="1:11" x14ac:dyDescent="0.3">
      <c r="A4" s="76">
        <v>31847</v>
      </c>
      <c r="B4" s="76" t="s">
        <v>108</v>
      </c>
      <c r="C4" s="76" t="s">
        <v>105</v>
      </c>
      <c r="D4" s="76" t="s">
        <v>109</v>
      </c>
      <c r="E4" s="76">
        <v>26</v>
      </c>
      <c r="F4" s="76" t="s">
        <v>110</v>
      </c>
      <c r="G4" s="77">
        <v>2000</v>
      </c>
      <c r="H4" s="83">
        <v>111300</v>
      </c>
      <c r="I4" s="213">
        <f t="shared" si="0"/>
        <v>6678</v>
      </c>
      <c r="J4" s="79">
        <f t="shared" si="1"/>
        <v>4452</v>
      </c>
      <c r="K4" s="80">
        <f t="shared" si="2"/>
        <v>5565</v>
      </c>
    </row>
    <row r="5" spans="1:11" x14ac:dyDescent="0.3">
      <c r="A5" s="76">
        <v>48391</v>
      </c>
      <c r="B5" s="76" t="s">
        <v>111</v>
      </c>
      <c r="C5" s="76" t="s">
        <v>112</v>
      </c>
      <c r="D5" s="76" t="s">
        <v>113</v>
      </c>
      <c r="E5" s="76">
        <v>30</v>
      </c>
      <c r="F5" s="76" t="s">
        <v>114</v>
      </c>
      <c r="G5" s="77">
        <v>1800</v>
      </c>
      <c r="H5" s="81">
        <v>119700</v>
      </c>
      <c r="I5" s="213">
        <f t="shared" si="0"/>
        <v>7182</v>
      </c>
      <c r="J5" s="79">
        <f t="shared" si="1"/>
        <v>4788</v>
      </c>
      <c r="K5" s="84">
        <f t="shared" si="2"/>
        <v>5985</v>
      </c>
    </row>
    <row r="6" spans="1:11" x14ac:dyDescent="0.3">
      <c r="A6" s="76">
        <v>29482</v>
      </c>
      <c r="B6" s="76" t="s">
        <v>115</v>
      </c>
      <c r="C6" s="76" t="s">
        <v>112</v>
      </c>
      <c r="D6" s="76" t="s">
        <v>116</v>
      </c>
      <c r="E6" s="76">
        <v>28</v>
      </c>
      <c r="F6" s="85" t="s">
        <v>117</v>
      </c>
      <c r="G6" s="86">
        <v>1800</v>
      </c>
      <c r="H6" s="87">
        <v>168000</v>
      </c>
      <c r="I6" s="214">
        <f t="shared" si="0"/>
        <v>10080</v>
      </c>
      <c r="J6" s="79">
        <f t="shared" si="1"/>
        <v>6720</v>
      </c>
      <c r="K6" s="82">
        <f t="shared" si="2"/>
        <v>8400</v>
      </c>
    </row>
    <row r="7" spans="1:11" ht="15" thickBot="1" x14ac:dyDescent="0.35">
      <c r="A7" s="85">
        <v>35828</v>
      </c>
      <c r="B7" s="85" t="s">
        <v>118</v>
      </c>
      <c r="C7" s="85" t="s">
        <v>112</v>
      </c>
      <c r="D7" s="88" t="s">
        <v>119</v>
      </c>
      <c r="E7" s="89">
        <v>33</v>
      </c>
      <c r="F7" s="88" t="s">
        <v>120</v>
      </c>
      <c r="G7" s="90">
        <v>1800</v>
      </c>
      <c r="H7" s="91">
        <v>210000</v>
      </c>
      <c r="I7" s="215">
        <f t="shared" si="0"/>
        <v>12600</v>
      </c>
      <c r="J7" s="79">
        <f t="shared" si="1"/>
        <v>8400</v>
      </c>
      <c r="K7" s="80">
        <f t="shared" si="2"/>
        <v>10500</v>
      </c>
    </row>
    <row r="8" spans="1:11" ht="15" thickBot="1" x14ac:dyDescent="0.35">
      <c r="A8" s="96" t="s">
        <v>121</v>
      </c>
      <c r="B8" s="97"/>
      <c r="C8" s="98"/>
      <c r="D8" s="99"/>
      <c r="E8" s="97"/>
      <c r="F8" s="127"/>
      <c r="G8" s="100">
        <f>G2+G3+G4+G5+G6+G7</f>
        <v>15200</v>
      </c>
      <c r="H8" s="101">
        <f>SUM(H2:H7)</f>
        <v>1019200</v>
      </c>
      <c r="I8" s="216">
        <f>SUM(I2:I7)</f>
        <v>61152</v>
      </c>
      <c r="J8" s="102">
        <f>SUM(J2:J7)</f>
        <v>40768</v>
      </c>
      <c r="K8" s="103">
        <f>SUM(K2:K7)</f>
        <v>50960</v>
      </c>
    </row>
    <row r="9" spans="1:11" ht="15" thickBot="1" x14ac:dyDescent="0.35">
      <c r="A9" s="104" t="s">
        <v>122</v>
      </c>
      <c r="B9" s="105"/>
      <c r="C9" s="106"/>
      <c r="D9" s="107"/>
      <c r="E9" s="108"/>
      <c r="F9" s="109"/>
      <c r="G9" s="224">
        <f>AVERAGE(G8,H8,I8,J8,K8)</f>
        <v>237456</v>
      </c>
      <c r="H9" s="225"/>
      <c r="I9" s="225"/>
      <c r="J9" s="225"/>
      <c r="K9" s="226"/>
    </row>
    <row r="10" spans="1:11" x14ac:dyDescent="0.3">
      <c r="D10" s="190"/>
    </row>
    <row r="11" spans="1:11" x14ac:dyDescent="0.3">
      <c r="A11" s="166"/>
      <c r="B11" s="165"/>
      <c r="C11" s="184"/>
      <c r="D11" s="191"/>
      <c r="E11" s="184"/>
      <c r="F11" s="165"/>
      <c r="G11" s="184"/>
      <c r="H11" s="166"/>
      <c r="I11" s="165"/>
      <c r="J11" s="184"/>
      <c r="K11" s="165"/>
    </row>
    <row r="12" spans="1:11" x14ac:dyDescent="0.3">
      <c r="A12" s="185"/>
      <c r="B12" s="187"/>
      <c r="C12" s="175"/>
      <c r="D12" s="187"/>
      <c r="E12" s="175"/>
      <c r="F12" s="187"/>
      <c r="G12" s="176"/>
      <c r="H12" s="198"/>
      <c r="I12" s="194"/>
      <c r="J12" s="177"/>
      <c r="K12" s="168"/>
    </row>
    <row r="13" spans="1:11" x14ac:dyDescent="0.3">
      <c r="A13" s="172"/>
      <c r="B13" s="171"/>
      <c r="C13" s="174"/>
      <c r="D13" s="171"/>
      <c r="E13" s="207"/>
      <c r="F13" s="171"/>
      <c r="G13" s="182"/>
      <c r="H13" s="199"/>
      <c r="I13" s="195"/>
      <c r="J13" s="183"/>
      <c r="K13" s="170"/>
    </row>
    <row r="14" spans="1:11" x14ac:dyDescent="0.3">
      <c r="A14" s="172"/>
      <c r="B14" s="171"/>
      <c r="C14" s="174"/>
      <c r="D14" s="171"/>
      <c r="E14" s="174"/>
      <c r="F14" s="171"/>
      <c r="G14" s="182"/>
      <c r="H14" s="199"/>
      <c r="I14" s="195"/>
      <c r="J14" s="183"/>
      <c r="K14" s="170"/>
    </row>
    <row r="15" spans="1:11" x14ac:dyDescent="0.3">
      <c r="A15" s="178"/>
      <c r="B15" s="167"/>
      <c r="C15" s="179"/>
      <c r="D15" s="167"/>
      <c r="E15" s="179"/>
      <c r="F15" s="167"/>
      <c r="G15" s="180"/>
      <c r="H15" s="200"/>
      <c r="I15" s="196"/>
      <c r="J15" s="181"/>
      <c r="K15" s="169"/>
    </row>
    <row r="16" spans="1:11" x14ac:dyDescent="0.3">
      <c r="A16" s="185"/>
      <c r="B16" s="187"/>
      <c r="C16" s="175"/>
      <c r="D16" s="187"/>
      <c r="E16" s="175"/>
      <c r="F16" s="187"/>
      <c r="G16" s="176"/>
      <c r="H16" s="201"/>
      <c r="I16" s="194"/>
      <c r="J16" s="177"/>
      <c r="K16" s="168"/>
    </row>
    <row r="17" spans="1:11" x14ac:dyDescent="0.3">
      <c r="A17" s="178"/>
      <c r="B17" s="167"/>
      <c r="C17" s="179"/>
      <c r="D17" s="167"/>
      <c r="E17" s="179"/>
      <c r="F17" s="167"/>
      <c r="G17" s="180"/>
      <c r="H17" s="200"/>
      <c r="I17" s="196"/>
      <c r="J17" s="181"/>
      <c r="K17" s="169"/>
    </row>
    <row r="18" spans="1:11" x14ac:dyDescent="0.3">
      <c r="A18" s="189"/>
      <c r="B18" s="187"/>
      <c r="C18" s="175"/>
      <c r="D18" s="187"/>
      <c r="E18" s="175"/>
      <c r="F18" s="187"/>
      <c r="G18" s="176"/>
      <c r="H18" s="202"/>
      <c r="I18" s="194"/>
      <c r="J18" s="177"/>
      <c r="K18" s="168"/>
    </row>
    <row r="19" spans="1:11" x14ac:dyDescent="0.3">
      <c r="A19" s="173"/>
      <c r="B19" s="188"/>
      <c r="C19" s="186"/>
      <c r="D19" s="188"/>
      <c r="E19" s="186"/>
      <c r="F19" s="188"/>
      <c r="G19" s="192"/>
      <c r="H19" s="197"/>
      <c r="I19" s="193"/>
      <c r="J19" s="192"/>
      <c r="K19" s="197"/>
    </row>
  </sheetData>
  <mergeCells count="1">
    <mergeCell ref="G9:K9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65DB-A83E-4D49-8C34-54448E162917}">
  <dimension ref="A1:AL83"/>
  <sheetViews>
    <sheetView zoomScale="59" zoomScaleNormal="59" workbookViewId="0">
      <selection activeCell="T21" sqref="T21"/>
    </sheetView>
  </sheetViews>
  <sheetFormatPr defaultRowHeight="14.4" x14ac:dyDescent="0.3"/>
  <cols>
    <col min="1" max="1" width="19.109375" customWidth="1"/>
    <col min="2" max="2" width="78.33203125" customWidth="1"/>
    <col min="3" max="3" width="30.88671875" customWidth="1"/>
    <col min="4" max="4" width="42.21875" customWidth="1"/>
    <col min="5" max="5" width="20.6640625" customWidth="1"/>
    <col min="6" max="6" width="42.33203125" customWidth="1"/>
    <col min="7" max="7" width="16.109375" customWidth="1"/>
    <col min="8" max="8" width="25.77734375" customWidth="1"/>
    <col min="9" max="9" width="29.21875" customWidth="1"/>
    <col min="10" max="10" width="28" bestFit="1" customWidth="1"/>
    <col min="15" max="15" width="9.109375" customWidth="1"/>
    <col min="17" max="17" width="20.6640625" customWidth="1"/>
    <col min="18" max="18" width="23" customWidth="1"/>
    <col min="19" max="19" width="19" customWidth="1"/>
    <col min="20" max="20" width="24.109375" customWidth="1"/>
    <col min="21" max="21" width="34" customWidth="1"/>
    <col min="22" max="22" width="41.44140625" customWidth="1"/>
    <col min="23" max="23" width="49.77734375" customWidth="1"/>
    <col min="24" max="24" width="38.33203125" customWidth="1"/>
    <col min="25" max="25" width="29.88671875" customWidth="1"/>
    <col min="26" max="26" width="33" bestFit="1" customWidth="1"/>
    <col min="27" max="27" width="36.6640625" bestFit="1" customWidth="1"/>
    <col min="28" max="28" width="45.33203125" bestFit="1" customWidth="1"/>
    <col min="29" max="30" width="38.88671875" bestFit="1" customWidth="1"/>
    <col min="31" max="31" width="28.109375" customWidth="1"/>
    <col min="32" max="32" width="15.44140625" customWidth="1"/>
    <col min="33" max="33" width="28" customWidth="1"/>
    <col min="34" max="34" width="22.109375" customWidth="1"/>
    <col min="35" max="35" width="25.88671875" customWidth="1"/>
    <col min="36" max="36" width="32" customWidth="1"/>
    <col min="37" max="37" width="31.109375" customWidth="1"/>
    <col min="38" max="38" width="43.44140625" customWidth="1"/>
  </cols>
  <sheetData>
    <row r="1" spans="1:24" ht="15.6" x14ac:dyDescent="0.3">
      <c r="A1" s="4" t="s">
        <v>123</v>
      </c>
    </row>
    <row r="3" spans="1:24" ht="15.6" x14ac:dyDescent="0.3">
      <c r="A3" s="4" t="s">
        <v>124</v>
      </c>
      <c r="F3" s="4" t="s">
        <v>125</v>
      </c>
      <c r="G3" s="2"/>
      <c r="O3" s="3"/>
      <c r="R3" s="4" t="s">
        <v>126</v>
      </c>
    </row>
    <row r="4" spans="1:24" x14ac:dyDescent="0.3">
      <c r="R4" s="126"/>
    </row>
    <row r="5" spans="1:24" x14ac:dyDescent="0.3">
      <c r="A5" s="10" t="s">
        <v>2</v>
      </c>
      <c r="B5" s="10" t="s">
        <v>3</v>
      </c>
      <c r="C5" s="10" t="s">
        <v>127</v>
      </c>
      <c r="D5" s="11" t="s">
        <v>128</v>
      </c>
      <c r="F5" s="110" t="s">
        <v>64</v>
      </c>
      <c r="G5" s="111" t="s">
        <v>63</v>
      </c>
      <c r="H5" s="116" t="s">
        <v>129</v>
      </c>
      <c r="I5" s="116" t="s">
        <v>130</v>
      </c>
      <c r="R5" s="145" t="s">
        <v>91</v>
      </c>
      <c r="S5" s="143" t="s">
        <v>90</v>
      </c>
      <c r="T5" s="142" t="s">
        <v>131</v>
      </c>
      <c r="U5" s="142" t="s">
        <v>132</v>
      </c>
      <c r="V5" s="142" t="s">
        <v>133</v>
      </c>
      <c r="W5" s="142" t="s">
        <v>134</v>
      </c>
      <c r="X5" s="145" t="s">
        <v>135</v>
      </c>
    </row>
    <row r="6" spans="1:24" x14ac:dyDescent="0.3">
      <c r="A6" s="217" t="s">
        <v>48</v>
      </c>
      <c r="B6" s="217" t="s">
        <v>136</v>
      </c>
      <c r="C6" s="218">
        <v>8500</v>
      </c>
      <c r="D6" s="219">
        <v>5000</v>
      </c>
      <c r="F6" s="114" t="s">
        <v>71</v>
      </c>
      <c r="G6" s="115" t="s">
        <v>34</v>
      </c>
      <c r="H6" s="113">
        <v>8000</v>
      </c>
      <c r="I6" s="113">
        <v>168000</v>
      </c>
      <c r="R6" s="146" t="s">
        <v>105</v>
      </c>
      <c r="S6" s="144" t="s">
        <v>108</v>
      </c>
      <c r="T6" s="153">
        <v>2000</v>
      </c>
      <c r="U6" s="153">
        <v>111300</v>
      </c>
      <c r="V6" s="153">
        <v>6678</v>
      </c>
      <c r="W6" s="153">
        <v>4452</v>
      </c>
      <c r="X6" s="159">
        <v>5565</v>
      </c>
    </row>
    <row r="7" spans="1:24" x14ac:dyDescent="0.3">
      <c r="A7" s="220" t="s">
        <v>54</v>
      </c>
      <c r="B7" s="220"/>
      <c r="C7" s="221">
        <v>8500</v>
      </c>
      <c r="D7" s="221">
        <v>5000</v>
      </c>
      <c r="F7" s="114"/>
      <c r="G7" s="115" t="s">
        <v>38</v>
      </c>
      <c r="H7" s="113">
        <v>7500</v>
      </c>
      <c r="I7" s="113">
        <v>210000</v>
      </c>
      <c r="R7" s="147"/>
      <c r="S7" s="139" t="s">
        <v>104</v>
      </c>
      <c r="T7" s="154">
        <v>2000</v>
      </c>
      <c r="U7" s="154">
        <v>46200</v>
      </c>
      <c r="V7" s="154">
        <v>2772</v>
      </c>
      <c r="W7" s="154">
        <v>1848</v>
      </c>
      <c r="X7" s="160">
        <v>2310</v>
      </c>
    </row>
    <row r="8" spans="1:24" x14ac:dyDescent="0.3">
      <c r="A8" s="217" t="s">
        <v>16</v>
      </c>
      <c r="B8" s="217" t="s">
        <v>137</v>
      </c>
      <c r="C8" s="218">
        <v>6600</v>
      </c>
      <c r="D8" s="219">
        <v>3200</v>
      </c>
      <c r="F8" s="114"/>
      <c r="G8" s="115" t="s">
        <v>16</v>
      </c>
      <c r="H8" s="113">
        <v>6600</v>
      </c>
      <c r="I8" s="113">
        <v>46200</v>
      </c>
      <c r="R8" s="148" t="s">
        <v>138</v>
      </c>
      <c r="S8" s="141"/>
      <c r="T8" s="155">
        <v>4000</v>
      </c>
      <c r="U8" s="155">
        <v>157500</v>
      </c>
      <c r="V8" s="155">
        <v>9450</v>
      </c>
      <c r="W8" s="155">
        <v>6300</v>
      </c>
      <c r="X8" s="161">
        <v>7875</v>
      </c>
    </row>
    <row r="9" spans="1:24" x14ac:dyDescent="0.3">
      <c r="A9" s="220" t="s">
        <v>55</v>
      </c>
      <c r="B9" s="220"/>
      <c r="C9" s="221">
        <v>6600</v>
      </c>
      <c r="D9" s="221">
        <v>3200</v>
      </c>
      <c r="F9" s="114"/>
      <c r="G9" s="115" t="s">
        <v>28</v>
      </c>
      <c r="H9" s="113">
        <v>5300</v>
      </c>
      <c r="I9" s="113">
        <v>111300</v>
      </c>
      <c r="R9" s="148" t="s">
        <v>101</v>
      </c>
      <c r="S9" s="141" t="s">
        <v>100</v>
      </c>
      <c r="T9" s="155">
        <v>5800</v>
      </c>
      <c r="U9" s="155">
        <v>364000</v>
      </c>
      <c r="V9" s="155">
        <v>21840</v>
      </c>
      <c r="W9" s="155">
        <v>14560</v>
      </c>
      <c r="X9" s="161">
        <v>18200</v>
      </c>
    </row>
    <row r="10" spans="1:24" x14ac:dyDescent="0.3">
      <c r="A10" s="212" t="s">
        <v>10</v>
      </c>
      <c r="B10" s="212" t="s">
        <v>139</v>
      </c>
      <c r="C10" s="218">
        <v>4000</v>
      </c>
      <c r="D10" s="219">
        <v>1200</v>
      </c>
      <c r="F10" s="114"/>
      <c r="G10" s="115" t="s">
        <v>10</v>
      </c>
      <c r="H10" s="113">
        <v>4000</v>
      </c>
      <c r="I10" s="113">
        <v>364000</v>
      </c>
      <c r="R10" s="149" t="s">
        <v>140</v>
      </c>
      <c r="S10" s="140"/>
      <c r="T10" s="156">
        <v>5800</v>
      </c>
      <c r="U10" s="156">
        <v>364000</v>
      </c>
      <c r="V10" s="156">
        <v>21840</v>
      </c>
      <c r="W10" s="156">
        <v>14560</v>
      </c>
      <c r="X10" s="162">
        <v>18200</v>
      </c>
    </row>
    <row r="11" spans="1:24" x14ac:dyDescent="0.3">
      <c r="A11" s="47" t="s">
        <v>56</v>
      </c>
      <c r="B11" s="47"/>
      <c r="C11" s="221">
        <v>4000</v>
      </c>
      <c r="D11" s="221">
        <v>1200</v>
      </c>
      <c r="F11" s="114"/>
      <c r="G11" s="115" t="s">
        <v>22</v>
      </c>
      <c r="H11" s="113">
        <v>3100</v>
      </c>
      <c r="I11" s="113">
        <v>86800</v>
      </c>
      <c r="R11" s="146" t="s">
        <v>112</v>
      </c>
      <c r="S11" s="144" t="s">
        <v>111</v>
      </c>
      <c r="T11" s="153">
        <v>1800</v>
      </c>
      <c r="U11" s="153">
        <v>119700</v>
      </c>
      <c r="V11" s="153">
        <v>7182</v>
      </c>
      <c r="W11" s="153">
        <v>4788</v>
      </c>
      <c r="X11" s="159">
        <v>5985</v>
      </c>
    </row>
    <row r="12" spans="1:24" x14ac:dyDescent="0.3">
      <c r="A12" s="212" t="s">
        <v>28</v>
      </c>
      <c r="B12" s="212" t="s">
        <v>141</v>
      </c>
      <c r="C12" s="218">
        <v>5300</v>
      </c>
      <c r="D12" s="219">
        <v>1500</v>
      </c>
      <c r="F12" s="114" t="s">
        <v>142</v>
      </c>
      <c r="G12" s="114"/>
      <c r="H12" s="113">
        <v>34500</v>
      </c>
      <c r="I12" s="113">
        <v>986300</v>
      </c>
      <c r="R12" s="151"/>
      <c r="S12" s="138" t="s">
        <v>118</v>
      </c>
      <c r="T12" s="157">
        <v>1800</v>
      </c>
      <c r="U12" s="157">
        <v>210000</v>
      </c>
      <c r="V12" s="157">
        <v>12600</v>
      </c>
      <c r="W12" s="157">
        <v>8400</v>
      </c>
      <c r="X12" s="163">
        <v>10500</v>
      </c>
    </row>
    <row r="13" spans="1:24" x14ac:dyDescent="0.3">
      <c r="A13" s="47" t="s">
        <v>57</v>
      </c>
      <c r="B13" s="47"/>
      <c r="C13" s="221">
        <v>5300</v>
      </c>
      <c r="D13" s="221">
        <v>1500</v>
      </c>
      <c r="F13" s="114" t="s">
        <v>86</v>
      </c>
      <c r="G13" s="115" t="s">
        <v>48</v>
      </c>
      <c r="H13" s="113">
        <v>8500</v>
      </c>
      <c r="I13" s="113">
        <v>35700</v>
      </c>
      <c r="R13" s="146"/>
      <c r="S13" s="144" t="s">
        <v>115</v>
      </c>
      <c r="T13" s="153">
        <v>1800</v>
      </c>
      <c r="U13" s="153">
        <v>168000</v>
      </c>
      <c r="V13" s="153">
        <v>10080</v>
      </c>
      <c r="W13" s="153">
        <v>6720</v>
      </c>
      <c r="X13" s="159">
        <v>8400</v>
      </c>
    </row>
    <row r="14" spans="1:24" x14ac:dyDescent="0.3">
      <c r="A14" s="212" t="s">
        <v>38</v>
      </c>
      <c r="B14" s="212" t="s">
        <v>143</v>
      </c>
      <c r="C14" s="218">
        <v>7500</v>
      </c>
      <c r="D14" s="219">
        <v>2500</v>
      </c>
      <c r="F14" s="114" t="s">
        <v>144</v>
      </c>
      <c r="G14" s="114"/>
      <c r="H14" s="113">
        <v>8500</v>
      </c>
      <c r="I14" s="113">
        <v>35700</v>
      </c>
      <c r="R14" s="148" t="s">
        <v>145</v>
      </c>
      <c r="S14" s="141"/>
      <c r="T14" s="155">
        <v>5400</v>
      </c>
      <c r="U14" s="155">
        <v>497700</v>
      </c>
      <c r="V14" s="155">
        <v>29862</v>
      </c>
      <c r="W14" s="155">
        <v>19908</v>
      </c>
      <c r="X14" s="161">
        <v>24885</v>
      </c>
    </row>
    <row r="15" spans="1:24" x14ac:dyDescent="0.3">
      <c r="A15" s="47" t="s">
        <v>58</v>
      </c>
      <c r="B15" s="47"/>
      <c r="C15" s="221">
        <v>7500</v>
      </c>
      <c r="D15" s="221">
        <v>2500</v>
      </c>
      <c r="F15" s="114" t="s">
        <v>83</v>
      </c>
      <c r="G15" s="115" t="s">
        <v>42</v>
      </c>
      <c r="H15" s="113">
        <v>6000</v>
      </c>
      <c r="I15" s="113">
        <v>84000</v>
      </c>
      <c r="R15" s="149" t="s">
        <v>146</v>
      </c>
      <c r="S15" s="140" t="s">
        <v>146</v>
      </c>
      <c r="T15" s="156">
        <v>252656</v>
      </c>
      <c r="U15" s="156">
        <v>1019200</v>
      </c>
      <c r="V15" s="156">
        <v>61152</v>
      </c>
      <c r="W15" s="156">
        <v>40768</v>
      </c>
      <c r="X15" s="162">
        <v>50960</v>
      </c>
    </row>
    <row r="16" spans="1:24" x14ac:dyDescent="0.3">
      <c r="A16" s="212" t="s">
        <v>34</v>
      </c>
      <c r="B16" s="212" t="s">
        <v>147</v>
      </c>
      <c r="C16" s="218">
        <v>8000</v>
      </c>
      <c r="D16" s="219">
        <v>5800</v>
      </c>
      <c r="F16" s="114" t="s">
        <v>148</v>
      </c>
      <c r="G16" s="114"/>
      <c r="H16" s="113">
        <v>6000</v>
      </c>
      <c r="I16" s="113">
        <v>84000</v>
      </c>
      <c r="R16" s="146" t="s">
        <v>149</v>
      </c>
      <c r="S16" s="152"/>
      <c r="T16" s="153">
        <v>252656</v>
      </c>
      <c r="U16" s="153">
        <v>1019200</v>
      </c>
      <c r="V16" s="153">
        <v>61152</v>
      </c>
      <c r="W16" s="153">
        <v>40768</v>
      </c>
      <c r="X16" s="159">
        <v>50960</v>
      </c>
    </row>
    <row r="17" spans="1:24" x14ac:dyDescent="0.3">
      <c r="A17" s="47" t="s">
        <v>59</v>
      </c>
      <c r="B17" s="47"/>
      <c r="C17" s="221">
        <v>8000</v>
      </c>
      <c r="D17" s="221">
        <v>5800</v>
      </c>
      <c r="F17" s="110" t="s">
        <v>62</v>
      </c>
      <c r="G17" s="110"/>
      <c r="H17" s="112">
        <v>49000</v>
      </c>
      <c r="I17" s="112">
        <v>1106000</v>
      </c>
      <c r="R17" s="145" t="s">
        <v>62</v>
      </c>
      <c r="S17" s="150"/>
      <c r="T17" s="158">
        <v>267856</v>
      </c>
      <c r="U17" s="158">
        <v>2038400</v>
      </c>
      <c r="V17" s="158">
        <v>122304</v>
      </c>
      <c r="W17" s="158">
        <v>81536</v>
      </c>
      <c r="X17" s="164">
        <v>101920</v>
      </c>
    </row>
    <row r="18" spans="1:24" x14ac:dyDescent="0.3">
      <c r="A18" s="212" t="s">
        <v>22</v>
      </c>
      <c r="B18" s="212" t="s">
        <v>150</v>
      </c>
      <c r="C18" s="218">
        <v>3100</v>
      </c>
      <c r="D18" s="219">
        <v>1600</v>
      </c>
    </row>
    <row r="19" spans="1:24" x14ac:dyDescent="0.3">
      <c r="A19" s="47" t="s">
        <v>60</v>
      </c>
      <c r="B19" s="47"/>
      <c r="C19" s="221">
        <v>3100</v>
      </c>
      <c r="D19" s="221">
        <v>1600</v>
      </c>
    </row>
    <row r="20" spans="1:24" x14ac:dyDescent="0.3">
      <c r="A20" s="212" t="s">
        <v>42</v>
      </c>
      <c r="B20" s="212" t="s">
        <v>151</v>
      </c>
      <c r="C20" s="218">
        <v>6000</v>
      </c>
      <c r="D20" s="219">
        <v>3500</v>
      </c>
    </row>
    <row r="21" spans="1:24" x14ac:dyDescent="0.3">
      <c r="A21" s="47" t="s">
        <v>61</v>
      </c>
      <c r="B21" s="47"/>
      <c r="C21" s="48">
        <v>6000</v>
      </c>
      <c r="D21" s="48">
        <v>3500</v>
      </c>
    </row>
    <row r="22" spans="1:24" x14ac:dyDescent="0.3">
      <c r="A22" s="10" t="s">
        <v>62</v>
      </c>
      <c r="B22" s="10"/>
      <c r="C22" s="210">
        <v>49000</v>
      </c>
      <c r="D22" s="211">
        <v>24300</v>
      </c>
    </row>
    <row r="75" spans="28:38" x14ac:dyDescent="0.3"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</row>
    <row r="76" spans="28:38" x14ac:dyDescent="0.3">
      <c r="AB76" s="129"/>
      <c r="AC76" s="129"/>
      <c r="AD76" s="129"/>
      <c r="AE76" s="129"/>
      <c r="AF76" s="129"/>
      <c r="AG76" s="129"/>
      <c r="AH76" s="130"/>
      <c r="AI76" s="131"/>
      <c r="AJ76" s="132"/>
      <c r="AK76" s="133"/>
      <c r="AL76" s="134"/>
    </row>
    <row r="77" spans="28:38" x14ac:dyDescent="0.3">
      <c r="AB77" s="129"/>
      <c r="AC77" s="129"/>
      <c r="AD77" s="129"/>
      <c r="AE77" s="129"/>
      <c r="AF77" s="129"/>
      <c r="AG77" s="129"/>
      <c r="AH77" s="130"/>
      <c r="AI77" s="131"/>
      <c r="AJ77" s="132"/>
      <c r="AK77" s="133"/>
      <c r="AL77" s="134"/>
    </row>
    <row r="78" spans="28:38" x14ac:dyDescent="0.3">
      <c r="AB78" s="129"/>
      <c r="AC78" s="129"/>
      <c r="AD78" s="129"/>
      <c r="AE78" s="129"/>
      <c r="AF78" s="129"/>
      <c r="AG78" s="129"/>
      <c r="AH78" s="130"/>
      <c r="AI78" s="131"/>
      <c r="AJ78" s="132"/>
      <c r="AK78" s="133"/>
      <c r="AL78" s="134"/>
    </row>
    <row r="79" spans="28:38" x14ac:dyDescent="0.3">
      <c r="AB79" s="129"/>
      <c r="AC79" s="129"/>
      <c r="AD79" s="129"/>
      <c r="AE79" s="129"/>
      <c r="AF79" s="129"/>
      <c r="AG79" s="129"/>
      <c r="AH79" s="130"/>
      <c r="AI79" s="131"/>
      <c r="AJ79" s="132"/>
      <c r="AK79" s="133"/>
      <c r="AL79" s="134"/>
    </row>
    <row r="80" spans="28:38" x14ac:dyDescent="0.3">
      <c r="AB80" s="129"/>
      <c r="AC80" s="129"/>
      <c r="AD80" s="129"/>
      <c r="AE80" s="129"/>
      <c r="AF80" s="129"/>
      <c r="AG80" s="129"/>
      <c r="AH80" s="130"/>
      <c r="AI80" s="135"/>
      <c r="AJ80" s="132"/>
      <c r="AK80" s="133"/>
      <c r="AL80" s="134"/>
    </row>
    <row r="81" spans="28:38" x14ac:dyDescent="0.3">
      <c r="AB81" s="129"/>
      <c r="AC81" s="129"/>
      <c r="AD81" s="129"/>
      <c r="AE81" s="129"/>
      <c r="AF81" s="129"/>
      <c r="AG81" s="129"/>
      <c r="AH81" s="130"/>
      <c r="AI81" s="131"/>
      <c r="AJ81" s="132"/>
      <c r="AK81" s="133"/>
      <c r="AL81" s="134"/>
    </row>
    <row r="82" spans="28:38" x14ac:dyDescent="0.3">
      <c r="AB82" s="136"/>
      <c r="AC82" s="129"/>
      <c r="AD82" s="129"/>
      <c r="AE82" s="129"/>
      <c r="AF82" s="129"/>
      <c r="AG82" s="129"/>
      <c r="AH82" s="130"/>
      <c r="AI82" s="130"/>
      <c r="AJ82" s="132"/>
      <c r="AK82" s="133"/>
      <c r="AL82" s="134"/>
    </row>
    <row r="83" spans="28:38" x14ac:dyDescent="0.3">
      <c r="AB83" s="137"/>
      <c r="AC83" s="137"/>
      <c r="AD83" s="137"/>
      <c r="AE83" s="137"/>
      <c r="AF83" s="137"/>
      <c r="AG83" s="137"/>
      <c r="AH83" s="227"/>
      <c r="AI83" s="227"/>
      <c r="AJ83" s="227"/>
      <c r="AK83" s="227"/>
      <c r="AL83" s="227"/>
    </row>
  </sheetData>
  <mergeCells count="1">
    <mergeCell ref="AH83:AL83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Title</vt:lpstr>
      <vt:lpstr>Inventory Sheet</vt:lpstr>
      <vt:lpstr>Sales Sheet</vt:lpstr>
      <vt:lpstr>Employee's Salary Sheet</vt:lpstr>
      <vt:lpstr>Analysis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Manreen</dc:creator>
  <cp:keywords/>
  <dc:description/>
  <cp:lastModifiedBy>Manreen</cp:lastModifiedBy>
  <cp:revision/>
  <dcterms:created xsi:type="dcterms:W3CDTF">2022-11-02T10:07:55Z</dcterms:created>
  <dcterms:modified xsi:type="dcterms:W3CDTF">2022-11-24T15:46:14Z</dcterms:modified>
  <cp:category/>
  <cp:contentStatus/>
</cp:coreProperties>
</file>